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Liga de Patinaje de Bogotá\2026\Carreras\"/>
    </mc:Choice>
  </mc:AlternateContent>
  <xr:revisionPtr revIDLastSave="0" documentId="13_ncr:1_{3C0272C8-439B-47B1-A12C-21E4C7A781EB}" xr6:coauthVersionLast="47" xr6:coauthVersionMax="47" xr10:uidLastSave="{00000000-0000-0000-0000-000000000000}"/>
  <workbookProtection workbookAlgorithmName="SHA-512" workbookHashValue="nUF1EP9LetIb7rtnYKQ4DnJ32XcdkqCBFycbsVXvnpMWT3tdv0ULQvJmG2hv9qnVAQAKXN8xY06dz1sD+g+Qwg==" workbookSaltValue="2NI87Y+3sxTYPtmtSLt5Hg==" workbookSpinCount="100000" lockStructure="1"/>
  <bookViews>
    <workbookView xWindow="-120" yWindow="-120" windowWidth="20730" windowHeight="11040" xr2:uid="{087E6C31-ED74-4982-B80C-3F859FD08070}"/>
  </bookViews>
  <sheets>
    <sheet name="Palnilla" sheetId="1" r:id="rId1"/>
    <sheet name="BD" sheetId="3" r:id="rId2"/>
    <sheet name="Control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D9" i="3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K9" i="1"/>
  <c r="N9" i="1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3" i="3"/>
  <c r="H6" i="3" a="1"/>
  <c r="H6" i="3" s="1"/>
  <c r="H7" i="3" a="1"/>
  <c r="H7" i="3" s="1"/>
  <c r="H8" i="3" a="1"/>
  <c r="H8" i="3" s="1"/>
  <c r="H9" i="3" a="1"/>
  <c r="H9" i="3" s="1"/>
  <c r="H10" i="3" a="1"/>
  <c r="H10" i="3" s="1"/>
  <c r="H11" i="3" a="1"/>
  <c r="H11" i="3" s="1"/>
  <c r="H12" i="3" a="1"/>
  <c r="H12" i="3" s="1"/>
  <c r="H13" i="3" a="1"/>
  <c r="H13" i="3" s="1"/>
  <c r="H14" i="3" a="1"/>
  <c r="H14" i="3" s="1"/>
  <c r="H15" i="3" a="1"/>
  <c r="H15" i="3" s="1"/>
  <c r="H16" i="3" a="1"/>
  <c r="H16" i="3" s="1"/>
  <c r="H17" i="3" a="1"/>
  <c r="H17" i="3" s="1"/>
  <c r="H18" i="3" a="1"/>
  <c r="H18" i="3" s="1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H24" i="3" a="1"/>
  <c r="H24" i="3" s="1"/>
  <c r="H25" i="3" a="1"/>
  <c r="H25" i="3" s="1"/>
  <c r="H26" i="3" a="1"/>
  <c r="H26" i="3" s="1"/>
  <c r="H27" i="3" a="1"/>
  <c r="H27" i="3" s="1"/>
  <c r="H28" i="3" a="1"/>
  <c r="H28" i="3" s="1"/>
  <c r="H29" i="3" a="1"/>
  <c r="H29" i="3" s="1"/>
  <c r="H30" i="3" a="1"/>
  <c r="H30" i="3" s="1"/>
  <c r="H31" i="3" a="1"/>
  <c r="H31" i="3" s="1"/>
  <c r="H32" i="3" a="1"/>
  <c r="H32" i="3" s="1"/>
  <c r="H33" i="3" a="1"/>
  <c r="H33" i="3" s="1"/>
  <c r="H34" i="3" a="1"/>
  <c r="H34" i="3" s="1"/>
  <c r="H35" i="3" a="1"/>
  <c r="H35" i="3" s="1"/>
  <c r="H36" i="3" a="1"/>
  <c r="H36" i="3" s="1"/>
  <c r="H37" i="3" a="1"/>
  <c r="H37" i="3" s="1"/>
  <c r="H38" i="3" a="1"/>
  <c r="H38" i="3" s="1"/>
  <c r="H39" i="3" a="1"/>
  <c r="H39" i="3" s="1"/>
  <c r="H40" i="3" a="1"/>
  <c r="H40" i="3" s="1"/>
  <c r="H41" i="3" a="1"/>
  <c r="H41" i="3" s="1"/>
  <c r="H42" i="3" a="1"/>
  <c r="H42" i="3" s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G5" i="3" s="1"/>
  <c r="H5" i="3" s="1" a="1"/>
  <c r="H5" i="3" s="1"/>
  <c r="F4" i="3"/>
  <c r="G4" i="3" s="1"/>
  <c r="F3" i="3"/>
  <c r="G3" i="3" s="1"/>
  <c r="H3" i="3" s="1" a="1"/>
  <c r="H3" i="3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3" i="3"/>
  <c r="D4" i="3"/>
  <c r="D5" i="3"/>
  <c r="D6" i="3"/>
  <c r="D7" i="3"/>
  <c r="D8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3" i="3"/>
  <c r="H4" i="3" l="1" a="1"/>
  <c r="H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<sst xmlns="http://schemas.openxmlformats.org/spreadsheetml/2006/main" count="66" uniqueCount="52">
  <si>
    <t>Cont</t>
  </si>
  <si>
    <t># Comp</t>
  </si>
  <si>
    <t>Nombres</t>
  </si>
  <si>
    <t>Apellidos</t>
  </si>
  <si>
    <t xml:space="preserve">Dia </t>
  </si>
  <si>
    <t xml:space="preserve">Mes </t>
  </si>
  <si>
    <t>Año</t>
  </si>
  <si>
    <t>Tipo Doc</t>
  </si>
  <si>
    <t>P1</t>
  </si>
  <si>
    <t>P2</t>
  </si>
  <si>
    <t>P3</t>
  </si>
  <si>
    <t>P4</t>
  </si>
  <si>
    <t>P5</t>
  </si>
  <si>
    <t>Categoría</t>
  </si>
  <si>
    <t>Rama</t>
  </si>
  <si>
    <t>Evento</t>
  </si>
  <si>
    <t>Fecha</t>
  </si>
  <si>
    <t>Club</t>
  </si>
  <si>
    <t xml:space="preserve">Liga </t>
  </si>
  <si>
    <t>Presidente</t>
  </si>
  <si>
    <t>Numero Id. Presid.</t>
  </si>
  <si>
    <t>Delegado</t>
  </si>
  <si>
    <t>Entrenador</t>
  </si>
  <si>
    <t>Telefono Ent.</t>
  </si>
  <si>
    <t>Telefono Del.</t>
  </si>
  <si>
    <t>PLANILLA INSCRIPCIÓN LIGADOS VELOCIDAD 2026 - 2027</t>
  </si>
  <si>
    <t>DAMAS</t>
  </si>
  <si>
    <t>VARONES</t>
  </si>
  <si>
    <t>RAMA</t>
  </si>
  <si>
    <t>DIA</t>
  </si>
  <si>
    <t xml:space="preserve">MES </t>
  </si>
  <si>
    <t>AÑO</t>
  </si>
  <si>
    <t>TIPO DOC</t>
  </si>
  <si>
    <t>TI</t>
  </si>
  <si>
    <t>CC</t>
  </si>
  <si>
    <t>PAS</t>
  </si>
  <si>
    <t>OTRO</t>
  </si>
  <si>
    <t>Num Doc</t>
  </si>
  <si>
    <t>Tipo Registro</t>
  </si>
  <si>
    <t>TIPO REGISTRO</t>
  </si>
  <si>
    <t>ANTIGUO</t>
  </si>
  <si>
    <t xml:space="preserve">NUEVO </t>
  </si>
  <si>
    <t>INVITADO</t>
  </si>
  <si>
    <t>INS PRUEBAS</t>
  </si>
  <si>
    <t>X</t>
  </si>
  <si>
    <t>Fecha Nac</t>
  </si>
  <si>
    <t>Fecha de corte</t>
  </si>
  <si>
    <t>Edad</t>
  </si>
  <si>
    <t>Valor Inscripción Ordinaria Club</t>
  </si>
  <si>
    <t>Valor Ins Ord  Dep</t>
  </si>
  <si>
    <t>Cant Dep Inscritos</t>
  </si>
  <si>
    <t>Valor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</si>
</sst>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_-;\-[$$-240A]\ * #,##0_-;_-[$$-240A]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14" fontId="0" fillId="0" borderId="0" xfId="0" applyNumberFormat="1"/>
    <xf numFmtId="164" fontId="2" fillId="0" borderId="3" xfId="0" applyNumberFormat="1" applyFont="1" applyBorder="1" applyProtection="1">
      <protection hidden="1"/>
    </xf>
    <xf numFmtId="0" fontId="1" fillId="2" borderId="1" xfId="0" applyFont="1" applyFill="1" applyBorder="1" applyAlignment="1" applyProtection="1">
      <alignment horizontal="left"/>
      <protection hidden="1"/>
    </xf>
    <xf numFmtId="0" fontId="5" fillId="0" borderId="1" xfId="0" applyFont="1" applyBorder="1" applyAlignment="1" applyProtection="1">
      <alignment horizontal="left"/>
      <protection hidden="1"/>
    </xf>
    <xf numFmtId="0" fontId="1" fillId="2" borderId="4" xfId="0" applyFont="1" applyFill="1" applyBorder="1" applyAlignment="1" applyProtection="1">
      <alignment horizontal="center"/>
      <protection hidden="1"/>
    </xf>
    <xf numFmtId="0" fontId="1" fillId="2" borderId="15" xfId="0" applyFont="1" applyFill="1" applyBorder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center"/>
      <protection hidden="1"/>
    </xf>
    <xf numFmtId="0" fontId="1" fillId="2" borderId="9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hidden="1"/>
    </xf>
    <xf numFmtId="0" fontId="0" fillId="3" borderId="16" xfId="0" applyFill="1" applyBorder="1" applyAlignment="1" applyProtection="1">
      <alignment horizontal="center"/>
      <protection hidden="1"/>
    </xf>
    <xf numFmtId="0" fontId="0" fillId="3" borderId="17" xfId="0" applyFill="1" applyBorder="1" applyAlignment="1" applyProtection="1">
      <alignment horizontal="center"/>
      <protection hidden="1"/>
    </xf>
    <xf numFmtId="0" fontId="0" fillId="3" borderId="1" xfId="0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3" borderId="1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1" fillId="2" borderId="6" xfId="0" applyFont="1" applyFill="1" applyBorder="1" applyAlignment="1" applyProtection="1">
      <alignment horizontal="center"/>
      <protection hidden="1"/>
    </xf>
    <xf numFmtId="0" fontId="1" fillId="2" borderId="7" xfId="0" applyFont="1" applyFill="1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14" fontId="0" fillId="0" borderId="1" xfId="0" applyNumberFormat="1" applyBorder="1" applyAlignment="1" applyProtection="1">
      <alignment horizontal="center"/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3" borderId="8" xfId="0" applyFill="1" applyBorder="1" applyAlignment="1" applyProtection="1">
      <alignment horizontal="center"/>
      <protection hidden="1"/>
    </xf>
    <xf numFmtId="14" fontId="0" fillId="3" borderId="1" xfId="0" applyNumberFormat="1" applyFill="1" applyBorder="1" applyAlignment="1" applyProtection="1">
      <alignment horizontal="center"/>
      <protection hidden="1"/>
    </xf>
    <xf numFmtId="1" fontId="0" fillId="3" borderId="1" xfId="0" applyNumberFormat="1" applyFill="1" applyBorder="1" applyAlignment="1" applyProtection="1">
      <alignment horizontal="center"/>
      <protection hidden="1"/>
    </xf>
    <xf numFmtId="0" fontId="0" fillId="3" borderId="9" xfId="0" applyFill="1" applyBorder="1" applyAlignment="1" applyProtection="1">
      <alignment horizontal="center"/>
      <protection hidden="1"/>
    </xf>
    <xf numFmtId="0" fontId="0" fillId="3" borderId="10" xfId="0" applyFill="1" applyBorder="1" applyAlignment="1" applyProtection="1">
      <alignment horizontal="center"/>
      <protection hidden="1"/>
    </xf>
    <xf numFmtId="14" fontId="0" fillId="3" borderId="11" xfId="0" applyNumberFormat="1" applyFill="1" applyBorder="1" applyAlignment="1" applyProtection="1">
      <alignment horizontal="center"/>
      <protection hidden="1"/>
    </xf>
    <xf numFmtId="1" fontId="0" fillId="3" borderId="11" xfId="0" applyNumberFormat="1" applyFill="1" applyBorder="1" applyAlignment="1" applyProtection="1">
      <alignment horizontal="center"/>
      <protection hidden="1"/>
    </xf>
    <xf numFmtId="0" fontId="0" fillId="3" borderId="12" xfId="0" applyFill="1" applyBorder="1" applyAlignment="1" applyProtection="1">
      <alignment horizontal="center"/>
      <protection hidden="1"/>
    </xf>
    <xf numFmtId="0" fontId="1" fillId="2" borderId="18" xfId="0" applyFont="1" applyFill="1" applyBorder="1" applyAlignment="1" applyProtection="1">
      <alignment horizontal="left"/>
      <protection hidden="1"/>
    </xf>
    <xf numFmtId="0" fontId="1" fillId="2" borderId="0" xfId="0" applyFont="1" applyFill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164" fontId="2" fillId="0" borderId="3" xfId="0" applyNumberFormat="1" applyFont="1" applyBorder="1" applyAlignment="1" applyProtection="1">
      <alignment horizontal="center"/>
      <protection hidden="1"/>
    </xf>
    <xf numFmtId="164" fontId="2" fillId="0" borderId="4" xfId="0" applyNumberFormat="1" applyFont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center"/>
      <protection hidden="1"/>
    </xf>
    <xf numFmtId="164" fontId="2" fillId="0" borderId="2" xfId="0" applyNumberFormat="1" applyFont="1" applyBorder="1" applyAlignment="1" applyProtection="1">
      <alignment horizontal="left"/>
      <protection hidden="1"/>
    </xf>
    <xf numFmtId="0" fontId="2" fillId="0" borderId="3" xfId="0" applyFont="1" applyBorder="1" applyAlignment="1" applyProtection="1">
      <alignment horizontal="left"/>
      <protection hidden="1"/>
    </xf>
    <xf numFmtId="0" fontId="2" fillId="0" borderId="19" xfId="0" applyFont="1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14" xfId="0" applyFont="1" applyFill="1" applyBorder="1" applyAlignment="1" applyProtection="1">
      <alignment horizontal="left"/>
      <protection locked="0"/>
    </xf>
    <xf numFmtId="0" fontId="0" fillId="0" borderId="1" xfId="0" applyFill="1" applyBorder="1" applyAlignment="1" applyProtection="1">
      <alignment horizontal="center"/>
      <protection hidden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85725</xdr:rowOff>
    </xdr:from>
    <xdr:ext cx="1838324" cy="647700"/>
    <xdr:pic>
      <xdr:nvPicPr>
        <xdr:cNvPr id="2" name="image2.png">
          <a:extLst>
            <a:ext uri="{FF2B5EF4-FFF2-40B4-BE49-F238E27FC236}">
              <a16:creationId xmlns:a16="http://schemas.microsoft.com/office/drawing/2014/main" id="{9545E7A4-43ED-43D3-A9E9-4CFA312F24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2425" y="466725"/>
          <a:ext cx="1838324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2</xdr:row>
      <xdr:rowOff>104775</xdr:rowOff>
    </xdr:from>
    <xdr:ext cx="1590675" cy="590549"/>
    <xdr:pic>
      <xdr:nvPicPr>
        <xdr:cNvPr id="3" name="image1.png">
          <a:extLst>
            <a:ext uri="{FF2B5EF4-FFF2-40B4-BE49-F238E27FC236}">
              <a16:creationId xmlns:a16="http://schemas.microsoft.com/office/drawing/2014/main" id="{F8DB350E-E5C8-46DF-A7DB-AF13D01DBD7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53450" y="485775"/>
          <a:ext cx="1590675" cy="59054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A429-3900-4802-8E4A-285805A8A470}">
  <dimension ref="B2:T50"/>
  <sheetViews>
    <sheetView tabSelected="1" topLeftCell="A3" workbookViewId="0">
      <selection activeCell="J16" sqref="J16"/>
    </sheetView>
  </sheetViews>
  <sheetFormatPr baseColWidth="10" defaultRowHeight="15" x14ac:dyDescent="0.25"/>
  <cols>
    <col min="1" max="1" width="3.7109375" style="9" customWidth="1"/>
    <col min="2" max="2" width="5.140625" style="9" bestFit="1" customWidth="1"/>
    <col min="3" max="3" width="7.5703125" style="9" bestFit="1" customWidth="1"/>
    <col min="4" max="4" width="22.5703125" style="9" customWidth="1"/>
    <col min="5" max="5" width="23.28515625" style="9" customWidth="1"/>
    <col min="6" max="6" width="12.28515625" style="9" customWidth="1"/>
    <col min="7" max="7" width="5.85546875" style="9" customWidth="1"/>
    <col min="8" max="8" width="5.7109375" style="9" customWidth="1"/>
    <col min="9" max="9" width="9.140625" style="9" customWidth="1"/>
    <col min="10" max="10" width="20.5703125" style="9" bestFit="1" customWidth="1"/>
    <col min="11" max="11" width="14.42578125" style="9" customWidth="1"/>
    <col min="12" max="12" width="8.5703125" style="9" bestFit="1" customWidth="1"/>
    <col min="13" max="13" width="19.28515625" style="9" customWidth="1"/>
    <col min="14" max="18" width="4.140625" style="9" customWidth="1"/>
    <col min="19" max="16384" width="11.42578125" style="9"/>
  </cols>
  <sheetData>
    <row r="2" spans="2:20" ht="15.75" thickBot="1" x14ac:dyDescent="0.3"/>
    <row r="3" spans="2:20" ht="61.5" customHeight="1" x14ac:dyDescent="0.25">
      <c r="B3" s="55" t="s">
        <v>25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7"/>
    </row>
    <row r="4" spans="2:20" x14ac:dyDescent="0.25">
      <c r="B4" s="58" t="s">
        <v>15</v>
      </c>
      <c r="C4" s="59"/>
      <c r="D4" s="53"/>
      <c r="E4" s="53"/>
      <c r="F4" s="53"/>
      <c r="G4" s="53"/>
      <c r="H4" s="53"/>
      <c r="I4" s="53"/>
      <c r="J4" s="59" t="s">
        <v>16</v>
      </c>
      <c r="K4" s="59"/>
      <c r="L4" s="53"/>
      <c r="M4" s="53"/>
      <c r="N4" s="53"/>
      <c r="O4" s="53"/>
      <c r="P4" s="53"/>
      <c r="Q4" s="53"/>
      <c r="R4" s="54"/>
    </row>
    <row r="5" spans="2:20" x14ac:dyDescent="0.25">
      <c r="B5" s="58" t="s">
        <v>17</v>
      </c>
      <c r="C5" s="59"/>
      <c r="D5" s="53"/>
      <c r="E5" s="53"/>
      <c r="F5" s="53"/>
      <c r="G5" s="53"/>
      <c r="H5" s="53"/>
      <c r="I5" s="53"/>
      <c r="J5" s="59" t="s">
        <v>18</v>
      </c>
      <c r="K5" s="59"/>
      <c r="L5" s="53"/>
      <c r="M5" s="53"/>
      <c r="N5" s="53"/>
      <c r="O5" s="53"/>
      <c r="P5" s="53"/>
      <c r="Q5" s="53"/>
      <c r="R5" s="54"/>
    </row>
    <row r="6" spans="2:20" x14ac:dyDescent="0.25">
      <c r="B6" s="58" t="s">
        <v>19</v>
      </c>
      <c r="C6" s="59"/>
      <c r="D6" s="53"/>
      <c r="E6" s="53"/>
      <c r="F6" s="53"/>
      <c r="G6" s="53"/>
      <c r="H6" s="53"/>
      <c r="I6" s="53"/>
      <c r="J6" s="59" t="s">
        <v>20</v>
      </c>
      <c r="K6" s="59"/>
      <c r="L6" s="53"/>
      <c r="M6" s="53"/>
      <c r="N6" s="53"/>
      <c r="O6" s="53"/>
      <c r="P6" s="53"/>
      <c r="Q6" s="53"/>
      <c r="R6" s="54"/>
    </row>
    <row r="7" spans="2:20" x14ac:dyDescent="0.25">
      <c r="B7" s="58" t="s">
        <v>21</v>
      </c>
      <c r="C7" s="59"/>
      <c r="D7" s="53"/>
      <c r="E7" s="53"/>
      <c r="F7" s="53"/>
      <c r="G7" s="53"/>
      <c r="H7" s="53"/>
      <c r="I7" s="53"/>
      <c r="J7" s="59" t="s">
        <v>24</v>
      </c>
      <c r="K7" s="59"/>
      <c r="L7" s="53"/>
      <c r="M7" s="53"/>
      <c r="N7" s="53"/>
      <c r="O7" s="53"/>
      <c r="P7" s="53"/>
      <c r="Q7" s="53"/>
      <c r="R7" s="54"/>
    </row>
    <row r="8" spans="2:20" x14ac:dyDescent="0.25">
      <c r="B8" s="60" t="s">
        <v>22</v>
      </c>
      <c r="C8" s="59"/>
      <c r="D8" s="53"/>
      <c r="E8" s="53"/>
      <c r="F8" s="53"/>
      <c r="G8" s="53"/>
      <c r="H8" s="53"/>
      <c r="I8" s="53"/>
      <c r="J8" s="59" t="s">
        <v>23</v>
      </c>
      <c r="K8" s="59"/>
      <c r="L8" s="53"/>
      <c r="M8" s="53"/>
      <c r="N8" s="53"/>
      <c r="O8" s="53"/>
      <c r="P8" s="53"/>
      <c r="Q8" s="53"/>
      <c r="R8" s="54"/>
    </row>
    <row r="9" spans="2:20" ht="15.75" thickBot="1" x14ac:dyDescent="0.3">
      <c r="B9" s="42" t="s">
        <v>48</v>
      </c>
      <c r="C9" s="43"/>
      <c r="D9" s="43"/>
      <c r="E9" s="2">
        <v>161000</v>
      </c>
      <c r="F9" s="44" t="s">
        <v>49</v>
      </c>
      <c r="G9" s="45"/>
      <c r="H9" s="46">
        <v>79200</v>
      </c>
      <c r="I9" s="47"/>
      <c r="J9" s="3" t="s">
        <v>50</v>
      </c>
      <c r="K9" s="4">
        <f>COUNTIF(I11:I50, "&gt;0")</f>
        <v>0</v>
      </c>
      <c r="L9" s="48" t="s">
        <v>51</v>
      </c>
      <c r="M9" s="49"/>
      <c r="N9" s="50" t="str">
        <f>IF(K9&gt;0,E9+(H9*K9), "0")</f>
        <v>0</v>
      </c>
      <c r="O9" s="51"/>
      <c r="P9" s="51"/>
      <c r="Q9" s="51"/>
      <c r="R9" s="52"/>
    </row>
    <row r="10" spans="2:20" ht="18" customHeight="1" x14ac:dyDescent="0.25">
      <c r="B10" s="6" t="s">
        <v>0</v>
      </c>
      <c r="C10" s="5" t="s">
        <v>1</v>
      </c>
      <c r="D10" s="7" t="s">
        <v>2</v>
      </c>
      <c r="E10" s="7" t="s">
        <v>3</v>
      </c>
      <c r="F10" s="7" t="s">
        <v>14</v>
      </c>
      <c r="G10" s="7" t="s">
        <v>4</v>
      </c>
      <c r="H10" s="7" t="s">
        <v>5</v>
      </c>
      <c r="I10" s="7" t="s">
        <v>6</v>
      </c>
      <c r="J10" s="7" t="s">
        <v>13</v>
      </c>
      <c r="K10" s="7" t="s">
        <v>38</v>
      </c>
      <c r="L10" s="7" t="s">
        <v>7</v>
      </c>
      <c r="M10" s="7" t="s">
        <v>37</v>
      </c>
      <c r="N10" s="7" t="s">
        <v>8</v>
      </c>
      <c r="O10" s="7" t="s">
        <v>9</v>
      </c>
      <c r="P10" s="7" t="s">
        <v>10</v>
      </c>
      <c r="Q10" s="7" t="s">
        <v>11</v>
      </c>
      <c r="R10" s="8" t="s">
        <v>12</v>
      </c>
    </row>
    <row r="11" spans="2:20" x14ac:dyDescent="0.25">
      <c r="B11" s="20">
        <v>1</v>
      </c>
      <c r="C11" s="12"/>
      <c r="D11" s="10"/>
      <c r="E11" s="10"/>
      <c r="F11" s="10"/>
      <c r="G11" s="10"/>
      <c r="H11" s="10"/>
      <c r="I11" s="10"/>
      <c r="J11" s="61" t="str">
        <f>IF(I11&gt;0,BD!H3," ")</f>
        <v xml:space="preserve"> </v>
      </c>
      <c r="K11" s="10"/>
      <c r="L11" s="10"/>
      <c r="M11" s="10"/>
      <c r="N11" s="10"/>
      <c r="O11" s="10"/>
      <c r="P11" s="10"/>
      <c r="Q11" s="10"/>
      <c r="R11" s="11"/>
      <c r="S11" s="13"/>
      <c r="T11" s="13"/>
    </row>
    <row r="12" spans="2:20" x14ac:dyDescent="0.25">
      <c r="B12" s="21">
        <v>2</v>
      </c>
      <c r="C12" s="14"/>
      <c r="D12" s="15"/>
      <c r="E12" s="15"/>
      <c r="F12" s="15"/>
      <c r="G12" s="15"/>
      <c r="H12" s="15"/>
      <c r="I12" s="15"/>
      <c r="J12" s="23" t="str">
        <f>IF(I12&gt;0,BD!H4," ")</f>
        <v xml:space="preserve"> </v>
      </c>
      <c r="K12" s="15"/>
      <c r="L12" s="15"/>
      <c r="M12" s="15"/>
      <c r="N12" s="15"/>
      <c r="O12" s="15"/>
      <c r="P12" s="15"/>
      <c r="Q12" s="15"/>
      <c r="R12" s="16"/>
    </row>
    <row r="13" spans="2:20" x14ac:dyDescent="0.25">
      <c r="B13" s="20">
        <v>3</v>
      </c>
      <c r="C13" s="12"/>
      <c r="D13" s="10"/>
      <c r="E13" s="10"/>
      <c r="F13" s="10"/>
      <c r="G13" s="10"/>
      <c r="H13" s="10"/>
      <c r="I13" s="10"/>
      <c r="J13" s="24" t="str">
        <f>IF(I13&gt;0,BD!H5," ")</f>
        <v xml:space="preserve"> </v>
      </c>
      <c r="K13" s="10"/>
      <c r="L13" s="10"/>
      <c r="M13" s="10"/>
      <c r="N13" s="10"/>
      <c r="O13" s="10"/>
      <c r="P13" s="10"/>
      <c r="Q13" s="10"/>
      <c r="R13" s="11"/>
    </row>
    <row r="14" spans="2:20" x14ac:dyDescent="0.25">
      <c r="B14" s="21">
        <v>4</v>
      </c>
      <c r="C14" s="14"/>
      <c r="D14" s="15"/>
      <c r="E14" s="15"/>
      <c r="F14" s="15"/>
      <c r="G14" s="15"/>
      <c r="H14" s="15"/>
      <c r="I14" s="15"/>
      <c r="J14" s="23" t="str">
        <f>IF(I14&gt;0,BD!H6," ")</f>
        <v xml:space="preserve"> </v>
      </c>
      <c r="K14" s="15"/>
      <c r="L14" s="15"/>
      <c r="M14" s="15"/>
      <c r="N14" s="15"/>
      <c r="O14" s="15"/>
      <c r="P14" s="15"/>
      <c r="Q14" s="15"/>
      <c r="R14" s="16"/>
    </row>
    <row r="15" spans="2:20" x14ac:dyDescent="0.25">
      <c r="B15" s="20">
        <v>5</v>
      </c>
      <c r="C15" s="12"/>
      <c r="D15" s="10"/>
      <c r="E15" s="10"/>
      <c r="F15" s="10"/>
      <c r="G15" s="10"/>
      <c r="H15" s="10"/>
      <c r="I15" s="10"/>
      <c r="J15" s="24" t="str">
        <f>IF(I15&gt;0,BD!H7," ")</f>
        <v xml:space="preserve"> </v>
      </c>
      <c r="K15" s="10"/>
      <c r="L15" s="10"/>
      <c r="M15" s="10"/>
      <c r="N15" s="10"/>
      <c r="O15" s="10"/>
      <c r="P15" s="10"/>
      <c r="Q15" s="10"/>
      <c r="R15" s="11"/>
    </row>
    <row r="16" spans="2:20" x14ac:dyDescent="0.25">
      <c r="B16" s="21">
        <v>6</v>
      </c>
      <c r="C16" s="14"/>
      <c r="D16" s="15"/>
      <c r="E16" s="15"/>
      <c r="F16" s="15"/>
      <c r="G16" s="15"/>
      <c r="H16" s="15"/>
      <c r="I16" s="15"/>
      <c r="J16" s="23" t="str">
        <f>IF(I16&gt;0,BD!H8," ")</f>
        <v xml:space="preserve"> </v>
      </c>
      <c r="K16" s="15"/>
      <c r="L16" s="15"/>
      <c r="M16" s="15"/>
      <c r="N16" s="15"/>
      <c r="O16" s="15"/>
      <c r="P16" s="15"/>
      <c r="Q16" s="15"/>
      <c r="R16" s="16"/>
    </row>
    <row r="17" spans="2:18" x14ac:dyDescent="0.25">
      <c r="B17" s="20">
        <v>7</v>
      </c>
      <c r="C17" s="12"/>
      <c r="D17" s="10"/>
      <c r="E17" s="10"/>
      <c r="F17" s="10"/>
      <c r="G17" s="10"/>
      <c r="H17" s="10"/>
      <c r="I17" s="10"/>
      <c r="J17" s="24" t="str">
        <f>IF(I17&gt;0,BD!H9," ")</f>
        <v xml:space="preserve"> </v>
      </c>
      <c r="K17" s="10"/>
      <c r="L17" s="10"/>
      <c r="M17" s="10"/>
      <c r="N17" s="10"/>
      <c r="O17" s="10"/>
      <c r="P17" s="10"/>
      <c r="Q17" s="10"/>
      <c r="R17" s="11"/>
    </row>
    <row r="18" spans="2:18" x14ac:dyDescent="0.25">
      <c r="B18" s="21">
        <v>8</v>
      </c>
      <c r="C18" s="14"/>
      <c r="D18" s="15"/>
      <c r="E18" s="15"/>
      <c r="F18" s="15"/>
      <c r="G18" s="15"/>
      <c r="H18" s="15"/>
      <c r="I18" s="15"/>
      <c r="J18" s="23" t="str">
        <f>IF(I18&gt;0,BD!H10," ")</f>
        <v xml:space="preserve"> </v>
      </c>
      <c r="K18" s="15"/>
      <c r="L18" s="15"/>
      <c r="M18" s="15"/>
      <c r="N18" s="15"/>
      <c r="O18" s="15"/>
      <c r="P18" s="15"/>
      <c r="Q18" s="15"/>
      <c r="R18" s="16"/>
    </row>
    <row r="19" spans="2:18" x14ac:dyDescent="0.25">
      <c r="B19" s="20">
        <v>9</v>
      </c>
      <c r="C19" s="12"/>
      <c r="D19" s="10"/>
      <c r="E19" s="10"/>
      <c r="F19" s="10"/>
      <c r="G19" s="10"/>
      <c r="H19" s="10"/>
      <c r="I19" s="10"/>
      <c r="J19" s="24" t="str">
        <f>IF(I19&gt;0,BD!H11," ")</f>
        <v xml:space="preserve"> </v>
      </c>
      <c r="K19" s="10"/>
      <c r="L19" s="10"/>
      <c r="M19" s="10"/>
      <c r="N19" s="10"/>
      <c r="O19" s="10"/>
      <c r="P19" s="10"/>
      <c r="Q19" s="10"/>
      <c r="R19" s="11"/>
    </row>
    <row r="20" spans="2:18" x14ac:dyDescent="0.25">
      <c r="B20" s="21">
        <v>10</v>
      </c>
      <c r="C20" s="14"/>
      <c r="D20" s="15"/>
      <c r="E20" s="15"/>
      <c r="F20" s="15"/>
      <c r="G20" s="15"/>
      <c r="H20" s="15"/>
      <c r="I20" s="15"/>
      <c r="J20" s="23" t="str">
        <f>IF(I20&gt;0,BD!H12," ")</f>
        <v xml:space="preserve"> </v>
      </c>
      <c r="K20" s="15"/>
      <c r="L20" s="15"/>
      <c r="M20" s="15"/>
      <c r="N20" s="15"/>
      <c r="O20" s="15"/>
      <c r="P20" s="15"/>
      <c r="Q20" s="15"/>
      <c r="R20" s="16"/>
    </row>
    <row r="21" spans="2:18" x14ac:dyDescent="0.25">
      <c r="B21" s="20">
        <v>11</v>
      </c>
      <c r="C21" s="12"/>
      <c r="D21" s="10"/>
      <c r="E21" s="10"/>
      <c r="F21" s="10"/>
      <c r="G21" s="10"/>
      <c r="H21" s="10"/>
      <c r="I21" s="10"/>
      <c r="J21" s="24" t="str">
        <f>IF(I21&gt;0,BD!H13," ")</f>
        <v xml:space="preserve"> </v>
      </c>
      <c r="K21" s="10"/>
      <c r="L21" s="10"/>
      <c r="M21" s="10"/>
      <c r="N21" s="10"/>
      <c r="O21" s="10"/>
      <c r="P21" s="10"/>
      <c r="Q21" s="10"/>
      <c r="R21" s="11"/>
    </row>
    <row r="22" spans="2:18" x14ac:dyDescent="0.25">
      <c r="B22" s="21">
        <v>12</v>
      </c>
      <c r="C22" s="14"/>
      <c r="D22" s="15"/>
      <c r="E22" s="15"/>
      <c r="F22" s="15"/>
      <c r="G22" s="15"/>
      <c r="H22" s="15"/>
      <c r="I22" s="15"/>
      <c r="J22" s="23" t="str">
        <f>IF(I22&gt;0,BD!H14," ")</f>
        <v xml:space="preserve"> </v>
      </c>
      <c r="K22" s="15"/>
      <c r="L22" s="15"/>
      <c r="M22" s="15"/>
      <c r="N22" s="15"/>
      <c r="O22" s="15"/>
      <c r="P22" s="15"/>
      <c r="Q22" s="15"/>
      <c r="R22" s="16"/>
    </row>
    <row r="23" spans="2:18" x14ac:dyDescent="0.25">
      <c r="B23" s="20">
        <v>13</v>
      </c>
      <c r="C23" s="12"/>
      <c r="D23" s="10"/>
      <c r="E23" s="10"/>
      <c r="F23" s="10"/>
      <c r="G23" s="10"/>
      <c r="H23" s="10"/>
      <c r="I23" s="10"/>
      <c r="J23" s="24" t="str">
        <f>IF(I23&gt;0,BD!H15," ")</f>
        <v xml:space="preserve"> </v>
      </c>
      <c r="K23" s="10"/>
      <c r="L23" s="10"/>
      <c r="M23" s="10"/>
      <c r="N23" s="10"/>
      <c r="O23" s="10"/>
      <c r="P23" s="10"/>
      <c r="Q23" s="10"/>
      <c r="R23" s="11"/>
    </row>
    <row r="24" spans="2:18" x14ac:dyDescent="0.25">
      <c r="B24" s="21">
        <v>14</v>
      </c>
      <c r="C24" s="14"/>
      <c r="D24" s="15"/>
      <c r="E24" s="15"/>
      <c r="F24" s="15"/>
      <c r="G24" s="15"/>
      <c r="H24" s="15"/>
      <c r="I24" s="15"/>
      <c r="J24" s="23" t="str">
        <f>IF(I24&gt;0,BD!H16," ")</f>
        <v xml:space="preserve"> </v>
      </c>
      <c r="K24" s="15"/>
      <c r="L24" s="15"/>
      <c r="M24" s="15"/>
      <c r="N24" s="15"/>
      <c r="O24" s="15"/>
      <c r="P24" s="15"/>
      <c r="Q24" s="15"/>
      <c r="R24" s="16"/>
    </row>
    <row r="25" spans="2:18" x14ac:dyDescent="0.25">
      <c r="B25" s="20">
        <v>15</v>
      </c>
      <c r="C25" s="12"/>
      <c r="D25" s="10"/>
      <c r="E25" s="10"/>
      <c r="F25" s="10"/>
      <c r="G25" s="10"/>
      <c r="H25" s="10"/>
      <c r="I25" s="10"/>
      <c r="J25" s="24" t="str">
        <f>IF(I25&gt;0,BD!H17," ")</f>
        <v xml:space="preserve"> </v>
      </c>
      <c r="K25" s="10"/>
      <c r="L25" s="10"/>
      <c r="M25" s="10"/>
      <c r="N25" s="10"/>
      <c r="O25" s="10"/>
      <c r="P25" s="10"/>
      <c r="Q25" s="10"/>
      <c r="R25" s="11"/>
    </row>
    <row r="26" spans="2:18" x14ac:dyDescent="0.25">
      <c r="B26" s="21">
        <v>16</v>
      </c>
      <c r="C26" s="14"/>
      <c r="D26" s="15"/>
      <c r="E26" s="15"/>
      <c r="F26" s="15"/>
      <c r="G26" s="15"/>
      <c r="H26" s="15"/>
      <c r="I26" s="15"/>
      <c r="J26" s="23" t="str">
        <f>IF(I26&gt;0,BD!H18," ")</f>
        <v xml:space="preserve"> </v>
      </c>
      <c r="K26" s="15"/>
      <c r="L26" s="15"/>
      <c r="M26" s="15"/>
      <c r="N26" s="15"/>
      <c r="O26" s="15"/>
      <c r="P26" s="15"/>
      <c r="Q26" s="15"/>
      <c r="R26" s="16"/>
    </row>
    <row r="27" spans="2:18" x14ac:dyDescent="0.25">
      <c r="B27" s="20">
        <v>17</v>
      </c>
      <c r="C27" s="12"/>
      <c r="D27" s="10"/>
      <c r="E27" s="10"/>
      <c r="F27" s="10"/>
      <c r="G27" s="10"/>
      <c r="H27" s="10"/>
      <c r="I27" s="10"/>
      <c r="J27" s="24" t="str">
        <f>IF(I27&gt;0,BD!H19," ")</f>
        <v xml:space="preserve"> </v>
      </c>
      <c r="K27" s="10"/>
      <c r="L27" s="10"/>
      <c r="M27" s="10"/>
      <c r="N27" s="10"/>
      <c r="O27" s="10"/>
      <c r="P27" s="10"/>
      <c r="Q27" s="10"/>
      <c r="R27" s="11"/>
    </row>
    <row r="28" spans="2:18" x14ac:dyDescent="0.25">
      <c r="B28" s="21">
        <v>18</v>
      </c>
      <c r="C28" s="14"/>
      <c r="D28" s="15"/>
      <c r="E28" s="15"/>
      <c r="F28" s="15"/>
      <c r="G28" s="15"/>
      <c r="H28" s="15"/>
      <c r="I28" s="15"/>
      <c r="J28" s="23" t="str">
        <f>IF(I28&gt;0,BD!H20," ")</f>
        <v xml:space="preserve"> </v>
      </c>
      <c r="K28" s="15"/>
      <c r="L28" s="15"/>
      <c r="M28" s="15"/>
      <c r="N28" s="15"/>
      <c r="O28" s="15"/>
      <c r="P28" s="15"/>
      <c r="Q28" s="15"/>
      <c r="R28" s="16"/>
    </row>
    <row r="29" spans="2:18" x14ac:dyDescent="0.25">
      <c r="B29" s="20">
        <v>19</v>
      </c>
      <c r="C29" s="12"/>
      <c r="D29" s="10"/>
      <c r="E29" s="10"/>
      <c r="F29" s="10"/>
      <c r="G29" s="10"/>
      <c r="H29" s="10"/>
      <c r="I29" s="10"/>
      <c r="J29" s="24" t="str">
        <f>IF(I29&gt;0,BD!H21," ")</f>
        <v xml:space="preserve"> </v>
      </c>
      <c r="K29" s="10"/>
      <c r="L29" s="10"/>
      <c r="M29" s="10"/>
      <c r="N29" s="10"/>
      <c r="O29" s="10"/>
      <c r="P29" s="10"/>
      <c r="Q29" s="10"/>
      <c r="R29" s="11"/>
    </row>
    <row r="30" spans="2:18" x14ac:dyDescent="0.25">
      <c r="B30" s="21">
        <v>20</v>
      </c>
      <c r="C30" s="14"/>
      <c r="D30" s="15"/>
      <c r="E30" s="15"/>
      <c r="F30" s="15"/>
      <c r="G30" s="15"/>
      <c r="H30" s="15"/>
      <c r="I30" s="15"/>
      <c r="J30" s="23" t="str">
        <f>IF(I30&gt;0,BD!H22," ")</f>
        <v xml:space="preserve"> </v>
      </c>
      <c r="K30" s="15"/>
      <c r="L30" s="15"/>
      <c r="M30" s="15"/>
      <c r="N30" s="15"/>
      <c r="O30" s="15"/>
      <c r="P30" s="15"/>
      <c r="Q30" s="15"/>
      <c r="R30" s="16"/>
    </row>
    <row r="31" spans="2:18" x14ac:dyDescent="0.25">
      <c r="B31" s="20">
        <v>21</v>
      </c>
      <c r="C31" s="12"/>
      <c r="D31" s="10"/>
      <c r="E31" s="10"/>
      <c r="F31" s="10"/>
      <c r="G31" s="10"/>
      <c r="H31" s="10"/>
      <c r="I31" s="10"/>
      <c r="J31" s="24" t="str">
        <f>IF(I31&gt;0,BD!H23," ")</f>
        <v xml:space="preserve"> </v>
      </c>
      <c r="K31" s="10"/>
      <c r="L31" s="10"/>
      <c r="M31" s="10"/>
      <c r="N31" s="10"/>
      <c r="O31" s="10"/>
      <c r="P31" s="10"/>
      <c r="Q31" s="10"/>
      <c r="R31" s="11"/>
    </row>
    <row r="32" spans="2:18" x14ac:dyDescent="0.25">
      <c r="B32" s="21">
        <v>22</v>
      </c>
      <c r="C32" s="14"/>
      <c r="D32" s="15"/>
      <c r="E32" s="15"/>
      <c r="F32" s="15"/>
      <c r="G32" s="15"/>
      <c r="H32" s="15"/>
      <c r="I32" s="15"/>
      <c r="J32" s="23" t="str">
        <f>IF(I32&gt;0,BD!H24," ")</f>
        <v xml:space="preserve"> </v>
      </c>
      <c r="K32" s="15"/>
      <c r="L32" s="15"/>
      <c r="M32" s="15"/>
      <c r="N32" s="15"/>
      <c r="O32" s="15"/>
      <c r="P32" s="15"/>
      <c r="Q32" s="15"/>
      <c r="R32" s="16"/>
    </row>
    <row r="33" spans="2:18" x14ac:dyDescent="0.25">
      <c r="B33" s="20">
        <v>23</v>
      </c>
      <c r="C33" s="12"/>
      <c r="D33" s="10"/>
      <c r="E33" s="10"/>
      <c r="F33" s="10"/>
      <c r="G33" s="10"/>
      <c r="H33" s="10"/>
      <c r="I33" s="10"/>
      <c r="J33" s="24" t="str">
        <f>IF(I33&gt;0,BD!H25," ")</f>
        <v xml:space="preserve"> </v>
      </c>
      <c r="K33" s="10"/>
      <c r="L33" s="10"/>
      <c r="M33" s="10"/>
      <c r="N33" s="10"/>
      <c r="O33" s="10"/>
      <c r="P33" s="10"/>
      <c r="Q33" s="10"/>
      <c r="R33" s="11"/>
    </row>
    <row r="34" spans="2:18" x14ac:dyDescent="0.25">
      <c r="B34" s="21">
        <v>24</v>
      </c>
      <c r="C34" s="14"/>
      <c r="D34" s="15"/>
      <c r="E34" s="15"/>
      <c r="F34" s="15"/>
      <c r="G34" s="15"/>
      <c r="H34" s="15"/>
      <c r="I34" s="15"/>
      <c r="J34" s="23" t="str">
        <f>IF(I34&gt;0,BD!H26," ")</f>
        <v xml:space="preserve"> </v>
      </c>
      <c r="K34" s="15"/>
      <c r="L34" s="15"/>
      <c r="M34" s="15"/>
      <c r="N34" s="15"/>
      <c r="O34" s="15"/>
      <c r="P34" s="15"/>
      <c r="Q34" s="15"/>
      <c r="R34" s="16"/>
    </row>
    <row r="35" spans="2:18" x14ac:dyDescent="0.25">
      <c r="B35" s="20">
        <v>25</v>
      </c>
      <c r="C35" s="12"/>
      <c r="D35" s="10"/>
      <c r="E35" s="10"/>
      <c r="F35" s="10"/>
      <c r="G35" s="10"/>
      <c r="H35" s="10"/>
      <c r="I35" s="10"/>
      <c r="J35" s="24" t="str">
        <f>IF(I35&gt;0,BD!H27," ")</f>
        <v xml:space="preserve"> </v>
      </c>
      <c r="K35" s="10"/>
      <c r="L35" s="10"/>
      <c r="M35" s="10"/>
      <c r="N35" s="10"/>
      <c r="O35" s="10"/>
      <c r="P35" s="10"/>
      <c r="Q35" s="10"/>
      <c r="R35" s="11"/>
    </row>
    <row r="36" spans="2:18" x14ac:dyDescent="0.25">
      <c r="B36" s="21">
        <v>26</v>
      </c>
      <c r="C36" s="14"/>
      <c r="D36" s="15"/>
      <c r="E36" s="15"/>
      <c r="F36" s="15"/>
      <c r="G36" s="15"/>
      <c r="H36" s="15"/>
      <c r="I36" s="15"/>
      <c r="J36" s="23" t="str">
        <f>IF(I36&gt;0,BD!H28," ")</f>
        <v xml:space="preserve"> </v>
      </c>
      <c r="K36" s="15"/>
      <c r="L36" s="15"/>
      <c r="M36" s="15"/>
      <c r="N36" s="15"/>
      <c r="O36" s="15"/>
      <c r="P36" s="15"/>
      <c r="Q36" s="15"/>
      <c r="R36" s="16"/>
    </row>
    <row r="37" spans="2:18" x14ac:dyDescent="0.25">
      <c r="B37" s="20">
        <v>27</v>
      </c>
      <c r="C37" s="12"/>
      <c r="D37" s="10"/>
      <c r="E37" s="10"/>
      <c r="F37" s="10"/>
      <c r="G37" s="10"/>
      <c r="H37" s="10"/>
      <c r="I37" s="10"/>
      <c r="J37" s="24" t="str">
        <f>IF(I37&gt;0,BD!H29," ")</f>
        <v xml:space="preserve"> </v>
      </c>
      <c r="K37" s="10"/>
      <c r="L37" s="10"/>
      <c r="M37" s="10"/>
      <c r="N37" s="10"/>
      <c r="O37" s="10"/>
      <c r="P37" s="10"/>
      <c r="Q37" s="10"/>
      <c r="R37" s="11"/>
    </row>
    <row r="38" spans="2:18" x14ac:dyDescent="0.25">
      <c r="B38" s="21">
        <v>28</v>
      </c>
      <c r="C38" s="14"/>
      <c r="D38" s="15"/>
      <c r="E38" s="15"/>
      <c r="F38" s="15"/>
      <c r="G38" s="15"/>
      <c r="H38" s="15"/>
      <c r="I38" s="15"/>
      <c r="J38" s="23" t="str">
        <f>IF(I38&gt;0,BD!H30," ")</f>
        <v xml:space="preserve"> </v>
      </c>
      <c r="K38" s="15"/>
      <c r="L38" s="15"/>
      <c r="M38" s="15"/>
      <c r="N38" s="15"/>
      <c r="O38" s="15"/>
      <c r="P38" s="15"/>
      <c r="Q38" s="15"/>
      <c r="R38" s="16"/>
    </row>
    <row r="39" spans="2:18" x14ac:dyDescent="0.25">
      <c r="B39" s="20">
        <v>29</v>
      </c>
      <c r="C39" s="12"/>
      <c r="D39" s="10"/>
      <c r="E39" s="10"/>
      <c r="F39" s="10"/>
      <c r="G39" s="10"/>
      <c r="H39" s="10"/>
      <c r="I39" s="10"/>
      <c r="J39" s="24" t="str">
        <f>IF(I39&gt;0,BD!H31," ")</f>
        <v xml:space="preserve"> </v>
      </c>
      <c r="K39" s="10"/>
      <c r="L39" s="10"/>
      <c r="M39" s="10"/>
      <c r="N39" s="10"/>
      <c r="O39" s="10"/>
      <c r="P39" s="10"/>
      <c r="Q39" s="10"/>
      <c r="R39" s="11"/>
    </row>
    <row r="40" spans="2:18" x14ac:dyDescent="0.25">
      <c r="B40" s="21">
        <v>30</v>
      </c>
      <c r="C40" s="14"/>
      <c r="D40" s="15"/>
      <c r="E40" s="15"/>
      <c r="F40" s="15"/>
      <c r="G40" s="15"/>
      <c r="H40" s="15"/>
      <c r="I40" s="15"/>
      <c r="J40" s="23" t="str">
        <f>IF(I40&gt;0,BD!H32," ")</f>
        <v xml:space="preserve"> </v>
      </c>
      <c r="K40" s="15"/>
      <c r="L40" s="15"/>
      <c r="M40" s="15"/>
      <c r="N40" s="15"/>
      <c r="O40" s="15"/>
      <c r="P40" s="15"/>
      <c r="Q40" s="15"/>
      <c r="R40" s="16"/>
    </row>
    <row r="41" spans="2:18" x14ac:dyDescent="0.25">
      <c r="B41" s="20">
        <v>31</v>
      </c>
      <c r="C41" s="12"/>
      <c r="D41" s="10"/>
      <c r="E41" s="10"/>
      <c r="F41" s="10"/>
      <c r="G41" s="10"/>
      <c r="H41" s="10"/>
      <c r="I41" s="10"/>
      <c r="J41" s="24" t="str">
        <f>IF(I41&gt;0,BD!H33," ")</f>
        <v xml:space="preserve"> </v>
      </c>
      <c r="K41" s="10"/>
      <c r="L41" s="10"/>
      <c r="M41" s="10"/>
      <c r="N41" s="10"/>
      <c r="O41" s="10"/>
      <c r="P41" s="10"/>
      <c r="Q41" s="10"/>
      <c r="R41" s="11"/>
    </row>
    <row r="42" spans="2:18" x14ac:dyDescent="0.25">
      <c r="B42" s="21">
        <v>32</v>
      </c>
      <c r="C42" s="14"/>
      <c r="D42" s="15"/>
      <c r="E42" s="15"/>
      <c r="F42" s="15"/>
      <c r="G42" s="15"/>
      <c r="H42" s="15"/>
      <c r="I42" s="15"/>
      <c r="J42" s="23" t="str">
        <f>IF(I42&gt;0,BD!H34," ")</f>
        <v xml:space="preserve"> </v>
      </c>
      <c r="K42" s="15"/>
      <c r="L42" s="15"/>
      <c r="M42" s="15"/>
      <c r="N42" s="15"/>
      <c r="O42" s="15"/>
      <c r="P42" s="15"/>
      <c r="Q42" s="15"/>
      <c r="R42" s="16"/>
    </row>
    <row r="43" spans="2:18" x14ac:dyDescent="0.25">
      <c r="B43" s="20">
        <v>33</v>
      </c>
      <c r="C43" s="12"/>
      <c r="D43" s="10"/>
      <c r="E43" s="10"/>
      <c r="F43" s="10"/>
      <c r="G43" s="10"/>
      <c r="H43" s="10"/>
      <c r="I43" s="10"/>
      <c r="J43" s="24" t="str">
        <f>IF(I43&gt;0,BD!H35," ")</f>
        <v xml:space="preserve"> </v>
      </c>
      <c r="K43" s="10"/>
      <c r="L43" s="10"/>
      <c r="M43" s="10"/>
      <c r="N43" s="10"/>
      <c r="O43" s="10"/>
      <c r="P43" s="10"/>
      <c r="Q43" s="10"/>
      <c r="R43" s="11"/>
    </row>
    <row r="44" spans="2:18" x14ac:dyDescent="0.25">
      <c r="B44" s="21">
        <v>34</v>
      </c>
      <c r="C44" s="14"/>
      <c r="D44" s="15"/>
      <c r="E44" s="15"/>
      <c r="F44" s="15"/>
      <c r="G44" s="15"/>
      <c r="H44" s="15"/>
      <c r="I44" s="15"/>
      <c r="J44" s="23" t="str">
        <f>IF(I44&gt;0,BD!H36," ")</f>
        <v xml:space="preserve"> </v>
      </c>
      <c r="K44" s="15"/>
      <c r="L44" s="15"/>
      <c r="M44" s="15"/>
      <c r="N44" s="15"/>
      <c r="O44" s="15"/>
      <c r="P44" s="15"/>
      <c r="Q44" s="15"/>
      <c r="R44" s="16"/>
    </row>
    <row r="45" spans="2:18" x14ac:dyDescent="0.25">
      <c r="B45" s="20">
        <v>35</v>
      </c>
      <c r="C45" s="12"/>
      <c r="D45" s="10"/>
      <c r="E45" s="10"/>
      <c r="F45" s="10"/>
      <c r="G45" s="10"/>
      <c r="H45" s="10"/>
      <c r="I45" s="10"/>
      <c r="J45" s="24" t="str">
        <f>IF(I45&gt;0,BD!H37," ")</f>
        <v xml:space="preserve"> </v>
      </c>
      <c r="K45" s="10"/>
      <c r="L45" s="10"/>
      <c r="M45" s="10"/>
      <c r="N45" s="10"/>
      <c r="O45" s="10"/>
      <c r="P45" s="10"/>
      <c r="Q45" s="10"/>
      <c r="R45" s="11"/>
    </row>
    <row r="46" spans="2:18" x14ac:dyDescent="0.25">
      <c r="B46" s="21">
        <v>36</v>
      </c>
      <c r="C46" s="14"/>
      <c r="D46" s="15"/>
      <c r="E46" s="15"/>
      <c r="F46" s="15"/>
      <c r="G46" s="15"/>
      <c r="H46" s="15"/>
      <c r="I46" s="15"/>
      <c r="J46" s="23" t="str">
        <f>IF(I46&gt;0,BD!H38," ")</f>
        <v xml:space="preserve"> </v>
      </c>
      <c r="K46" s="15"/>
      <c r="L46" s="15"/>
      <c r="M46" s="15"/>
      <c r="N46" s="15"/>
      <c r="O46" s="15"/>
      <c r="P46" s="15"/>
      <c r="Q46" s="15"/>
      <c r="R46" s="16"/>
    </row>
    <row r="47" spans="2:18" x14ac:dyDescent="0.25">
      <c r="B47" s="20">
        <v>37</v>
      </c>
      <c r="C47" s="12"/>
      <c r="D47" s="10"/>
      <c r="E47" s="10"/>
      <c r="F47" s="10"/>
      <c r="G47" s="10"/>
      <c r="H47" s="10"/>
      <c r="I47" s="10"/>
      <c r="J47" s="24" t="str">
        <f>IF(I47&gt;0,BD!H39," ")</f>
        <v xml:space="preserve"> </v>
      </c>
      <c r="K47" s="10"/>
      <c r="L47" s="10"/>
      <c r="M47" s="10"/>
      <c r="N47" s="10"/>
      <c r="O47" s="10"/>
      <c r="P47" s="10"/>
      <c r="Q47" s="10"/>
      <c r="R47" s="11"/>
    </row>
    <row r="48" spans="2:18" x14ac:dyDescent="0.25">
      <c r="B48" s="21">
        <v>38</v>
      </c>
      <c r="C48" s="14"/>
      <c r="D48" s="15"/>
      <c r="E48" s="15"/>
      <c r="F48" s="15"/>
      <c r="G48" s="15"/>
      <c r="H48" s="15"/>
      <c r="I48" s="15"/>
      <c r="J48" s="23" t="str">
        <f>IF(I48&gt;0,BD!H40," ")</f>
        <v xml:space="preserve"> </v>
      </c>
      <c r="K48" s="15"/>
      <c r="L48" s="15"/>
      <c r="M48" s="15"/>
      <c r="N48" s="15"/>
      <c r="O48" s="15"/>
      <c r="P48" s="15"/>
      <c r="Q48" s="15"/>
      <c r="R48" s="16"/>
    </row>
    <row r="49" spans="2:18" x14ac:dyDescent="0.25">
      <c r="B49" s="20">
        <v>39</v>
      </c>
      <c r="C49" s="12"/>
      <c r="D49" s="10"/>
      <c r="E49" s="10"/>
      <c r="F49" s="10"/>
      <c r="G49" s="10"/>
      <c r="H49" s="10"/>
      <c r="I49" s="10"/>
      <c r="J49" s="24" t="str">
        <f>IF(I49&gt;0,BD!H41," ")</f>
        <v xml:space="preserve"> </v>
      </c>
      <c r="K49" s="10"/>
      <c r="L49" s="10"/>
      <c r="M49" s="10"/>
      <c r="N49" s="10"/>
      <c r="O49" s="10"/>
      <c r="P49" s="10"/>
      <c r="Q49" s="10"/>
      <c r="R49" s="11"/>
    </row>
    <row r="50" spans="2:18" ht="15.75" thickBot="1" x14ac:dyDescent="0.3">
      <c r="B50" s="22">
        <v>40</v>
      </c>
      <c r="C50" s="17"/>
      <c r="D50" s="18"/>
      <c r="E50" s="18"/>
      <c r="F50" s="18"/>
      <c r="G50" s="18"/>
      <c r="H50" s="18"/>
      <c r="I50" s="18"/>
      <c r="J50" s="25" t="str">
        <f>IF(I50&gt;0,BD!H42," ")</f>
        <v xml:space="preserve"> </v>
      </c>
      <c r="K50" s="18"/>
      <c r="L50" s="18"/>
      <c r="M50" s="18"/>
      <c r="N50" s="18"/>
      <c r="O50" s="18"/>
      <c r="P50" s="18"/>
      <c r="Q50" s="18"/>
      <c r="R50" s="19"/>
    </row>
  </sheetData>
  <sheetProtection algorithmName="SHA-512" hashValue="L+laAOoNHtJCKvqQa8fgW1agT5AjpKy00bw1SY9FjOAZupNqHEmAnZjK9/z8EJqDWaXsS73jHDdPNVgOp+ACWg==" saltValue="lV7U60HG0zSVDFub9DWvSA==" spinCount="100000" sheet="1" objects="1" scenarios="1"/>
  <mergeCells count="26">
    <mergeCell ref="B3:R3"/>
    <mergeCell ref="B7:C7"/>
    <mergeCell ref="J7:K7"/>
    <mergeCell ref="B8:C8"/>
    <mergeCell ref="J8:K8"/>
    <mergeCell ref="D4:I4"/>
    <mergeCell ref="D5:I5"/>
    <mergeCell ref="D6:I6"/>
    <mergeCell ref="D7:I7"/>
    <mergeCell ref="D8:I8"/>
    <mergeCell ref="B4:C4"/>
    <mergeCell ref="J4:K4"/>
    <mergeCell ref="B5:C5"/>
    <mergeCell ref="J5:K5"/>
    <mergeCell ref="B6:C6"/>
    <mergeCell ref="J6:K6"/>
    <mergeCell ref="L4:R4"/>
    <mergeCell ref="L5:R5"/>
    <mergeCell ref="L6:R6"/>
    <mergeCell ref="L7:R7"/>
    <mergeCell ref="L8:R8"/>
    <mergeCell ref="B9:D9"/>
    <mergeCell ref="F9:G9"/>
    <mergeCell ref="H9:I9"/>
    <mergeCell ref="L9:M9"/>
    <mergeCell ref="N9:R9"/>
  </mergeCells>
  <conditionalFormatting sqref="N11:R50">
    <cfRule type="cellIs" dxfId="1" priority="2" operator="equal">
      <formula>"X"</formula>
    </cfRule>
  </conditionalFormatting>
  <conditionalFormatting sqref="C11:C50">
    <cfRule type="cellIs" dxfId="0" priority="1" operator="lessThan">
      <formula>1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07E5A10-D845-4CA7-905F-A0F87F64D36B}">
          <x14:formula1>
            <xm:f>Control!$B$2:$B$3</xm:f>
          </x14:formula1>
          <xm:sqref>F11:F50</xm:sqref>
        </x14:dataValidation>
        <x14:dataValidation type="list" allowBlank="1" showInputMessage="1" showErrorMessage="1" xr:uid="{3D7C57B4-F7A2-420E-8718-F4B619D7ECA8}">
          <x14:formula1>
            <xm:f>Control!$C$2:$C$32</xm:f>
          </x14:formula1>
          <xm:sqref>G11:G50</xm:sqref>
        </x14:dataValidation>
        <x14:dataValidation type="list" allowBlank="1" showInputMessage="1" showErrorMessage="1" xr:uid="{6CFE46F2-A933-475C-BA32-1E926BAE08EB}">
          <x14:formula1>
            <xm:f>Control!$D$2:$D$13</xm:f>
          </x14:formula1>
          <xm:sqref>H11:H50</xm:sqref>
        </x14:dataValidation>
        <x14:dataValidation type="list" allowBlank="1" showInputMessage="1" showErrorMessage="1" xr:uid="{C6BB080C-5CDE-4362-ADEB-BA840D4B5560}">
          <x14:formula1>
            <xm:f>Control!$E$2:$E$53</xm:f>
          </x14:formula1>
          <xm:sqref>I11:I50</xm:sqref>
        </x14:dataValidation>
        <x14:dataValidation type="list" allowBlank="1" showInputMessage="1" showErrorMessage="1" xr:uid="{D924B2D5-0763-4411-8787-186F1FC97E9D}">
          <x14:formula1>
            <xm:f>Control!$F$2:$F$4</xm:f>
          </x14:formula1>
          <xm:sqref>K11:K50</xm:sqref>
        </x14:dataValidation>
        <x14:dataValidation type="list" allowBlank="1" showInputMessage="1" showErrorMessage="1" xr:uid="{BCB4280A-96EB-4D85-9DDC-3E8777868736}">
          <x14:formula1>
            <xm:f>Control!$G$2:$G$5</xm:f>
          </x14:formula1>
          <xm:sqref>L11:L50</xm:sqref>
        </x14:dataValidation>
        <x14:dataValidation type="list" allowBlank="1" showInputMessage="1" showErrorMessage="1" xr:uid="{ABB0155C-82E0-4E71-8640-C556E340829B}">
          <x14:formula1>
            <xm:f>Control!$H$2:$H$3</xm:f>
          </x14:formula1>
          <xm:sqref>N11:R50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41E5-91E2-4970-9BAF-B1E14B78D699}">
  <dimension ref="B1:Q42"/>
  <sheetViews>
    <sheetView workbookViewId="0">
      <selection activeCell="C11" sqref="C11"/>
    </sheetView>
  </sheetViews>
  <sheetFormatPr baseColWidth="10" defaultRowHeight="15" x14ac:dyDescent="0.25"/>
  <cols>
    <col min="1" max="1" width="4.85546875" style="26" customWidth="1"/>
    <col min="2" max="2" width="7.5703125" style="26" bestFit="1" customWidth="1"/>
    <col min="3" max="3" width="28.5703125" style="26" customWidth="1"/>
    <col min="4" max="4" width="28" style="26" customWidth="1"/>
    <col min="5" max="5" width="11.42578125" style="26"/>
    <col min="6" max="6" width="10.7109375" style="26" bestFit="1" customWidth="1"/>
    <col min="7" max="7" width="10.7109375" style="26" customWidth="1"/>
    <col min="8" max="8" width="20.5703125" style="26" bestFit="1" customWidth="1"/>
    <col min="9" max="9" width="12.5703125" style="26" bestFit="1" customWidth="1"/>
    <col min="10" max="10" width="9.140625" style="26" customWidth="1"/>
    <col min="11" max="12" width="17.28515625" style="26" customWidth="1"/>
    <col min="13" max="17" width="5.42578125" style="26" customWidth="1"/>
    <col min="18" max="16384" width="11.42578125" style="26"/>
  </cols>
  <sheetData>
    <row r="1" spans="2:17" ht="15.75" thickBot="1" x14ac:dyDescent="0.3"/>
    <row r="2" spans="2:17" x14ac:dyDescent="0.25">
      <c r="B2" s="27" t="s">
        <v>1</v>
      </c>
      <c r="C2" s="28" t="s">
        <v>2</v>
      </c>
      <c r="D2" s="28" t="s">
        <v>3</v>
      </c>
      <c r="E2" s="28" t="s">
        <v>14</v>
      </c>
      <c r="F2" s="28" t="s">
        <v>45</v>
      </c>
      <c r="G2" s="28" t="s">
        <v>47</v>
      </c>
      <c r="H2" s="28" t="s">
        <v>13</v>
      </c>
      <c r="I2" s="28" t="s">
        <v>38</v>
      </c>
      <c r="J2" s="28" t="s">
        <v>7</v>
      </c>
      <c r="K2" s="28" t="s">
        <v>37</v>
      </c>
      <c r="L2" s="28" t="s">
        <v>17</v>
      </c>
      <c r="M2" s="28" t="s">
        <v>8</v>
      </c>
      <c r="N2" s="28" t="s">
        <v>9</v>
      </c>
      <c r="O2" s="28" t="s">
        <v>10</v>
      </c>
      <c r="P2" s="28" t="s">
        <v>11</v>
      </c>
      <c r="Q2" s="29" t="s">
        <v>12</v>
      </c>
    </row>
    <row r="3" spans="2:17" x14ac:dyDescent="0.25">
      <c r="B3" s="30" t="str">
        <f>IF(Palnilla!I11&gt;0,Palnilla!C11," ")</f>
        <v xml:space="preserve"> </v>
      </c>
      <c r="C3" s="24" t="str">
        <f>UPPER(Palnilla!D11)</f>
        <v/>
      </c>
      <c r="D3" s="24" t="str">
        <f>UPPER(Palnilla!E11)</f>
        <v/>
      </c>
      <c r="E3" s="24" t="str">
        <f>UPPER(Palnilla!F11)</f>
        <v/>
      </c>
      <c r="F3" s="31" t="str">
        <f>IF(Palnilla!I11&gt;0, DATE(Palnilla!I11,Palnilla!H11,Palnilla!G11)," ")</f>
        <v xml:space="preserve"> </v>
      </c>
      <c r="G3" s="32" t="str">
        <f>IF(Palnilla!I11&gt;0, DATEDIF(F3,Control!$I$2,"y"), " ")</f>
        <v xml:space="preserve"> </v>
      </c>
      <c r="H3" s="24" t="str" cm="1">
        <f t="array" ref="H3">IF(Palnilla!I11&gt;0,_xlfn.IFS(G3=6,"MINI 7 AÑOS",G3=7,"MINI 7 AÑOS",G3=8,"MINI 8 AÑOS",G3=9,"MINI 9 AÑOS",G3=10,"MINI 10 AÑOS",G3=11,"PREINFANTIL 11 AÑOS",G3=12,"INFANTIL 12 AÑOS",G3=13,"JUNIOR 13 AÑOS",G3=14,"PREJUVENIL",G3=15,"JUVENIL 1ER AÑO",G3=16,"JUVENIL 2DO AÑO",G3=17,"JUVENIL 3ER AÑO",G3&gt;17,"MAYORES")," ")</f>
        <v xml:space="preserve"> </v>
      </c>
      <c r="I3" s="24" t="str">
        <f>UPPER(Palnilla!K11)</f>
        <v/>
      </c>
      <c r="J3" s="24" t="str">
        <f>UPPER(Palnilla!L11)</f>
        <v/>
      </c>
      <c r="K3" s="24" t="str">
        <f>IF(Palnilla!I11&gt;0,Palnilla!M11, " ")</f>
        <v xml:space="preserve"> </v>
      </c>
      <c r="L3" s="24" t="str">
        <f>IF(Palnilla!I11&gt;0, UPPER(Palnilla!$D$5)," ")</f>
        <v xml:space="preserve"> </v>
      </c>
      <c r="M3" s="24" t="str">
        <f>IF(Palnilla!I11&gt;0, UPPER(Palnilla!N11), " ")</f>
        <v xml:space="preserve"> </v>
      </c>
      <c r="N3" s="24" t="str">
        <f>IF(Palnilla!I11&gt;0, UPPER(Palnilla!O11), " ")</f>
        <v xml:space="preserve"> </v>
      </c>
      <c r="O3" s="24" t="str">
        <f>IF(Palnilla!I11&gt;0, UPPER(Palnilla!P11), " ")</f>
        <v xml:space="preserve"> </v>
      </c>
      <c r="P3" s="24" t="str">
        <f>IF(Palnilla!I11&gt;0, UPPER(Palnilla!Q11), " ")</f>
        <v xml:space="preserve"> </v>
      </c>
      <c r="Q3" s="33" t="str">
        <f>IF(Palnilla!I11&gt;0, UPPER(Palnilla!R11), " ")</f>
        <v xml:space="preserve"> </v>
      </c>
    </row>
    <row r="4" spans="2:17" x14ac:dyDescent="0.25">
      <c r="B4" s="34" t="str">
        <f>IF(Palnilla!I12&gt;0,Palnilla!C12," ")</f>
        <v xml:space="preserve"> </v>
      </c>
      <c r="C4" s="23" t="str">
        <f>UPPER(Palnilla!D12)</f>
        <v/>
      </c>
      <c r="D4" s="23" t="str">
        <f>UPPER(Palnilla!E12)</f>
        <v/>
      </c>
      <c r="E4" s="23" t="str">
        <f>UPPER(Palnilla!F12)</f>
        <v/>
      </c>
      <c r="F4" s="35" t="str">
        <f>IF(Palnilla!I12&gt;0, DATE(Palnilla!I12,Palnilla!H12,Palnilla!G12)," ")</f>
        <v xml:space="preserve"> </v>
      </c>
      <c r="G4" s="36" t="str">
        <f>IF(Palnilla!I12&gt;0, DATEDIF(F4,Control!$I$2,"y"), " ")</f>
        <v xml:space="preserve"> </v>
      </c>
      <c r="H4" s="23" t="str" cm="1">
        <f t="array" ref="H4">IF(Palnilla!I12&gt;0,_xlfn.IFS(G4=6,"MINI 7 AÑOS",G4=7,"MINI 7 AÑOS",G4=8,"MINI 8 AÑOS",G4=9,"MINI 9 AÑOS",G4=10,"MINI 10 AÑOS",G4=11,"PREINFANTIL 11 AÑOS",G4=12,"INFANTIL 12 AÑOS",G4=13,"JUNIOR 13 AÑOS",G4=14,"PREJUVENIL",G4=15,"JUVENIL 1ER AÑO",G4=16,"JUVENIL 2DO AÑO",G4=17,"JUVENIL 3ER AÑO",G4&gt;17,"MAYORES")," ")</f>
        <v xml:space="preserve"> </v>
      </c>
      <c r="I4" s="23" t="str">
        <f>UPPER(Palnilla!K12)</f>
        <v/>
      </c>
      <c r="J4" s="23" t="str">
        <f>UPPER(Palnilla!L12)</f>
        <v/>
      </c>
      <c r="K4" s="23" t="str">
        <f>IF(Palnilla!I12&gt;0,Palnilla!M12, " ")</f>
        <v xml:space="preserve"> </v>
      </c>
      <c r="L4" s="23" t="str">
        <f>IF(Palnilla!I12&gt;0, UPPER(Palnilla!$D$5)," ")</f>
        <v xml:space="preserve"> </v>
      </c>
      <c r="M4" s="23" t="str">
        <f>IF(Palnilla!I12&gt;0, UPPER(Palnilla!N12), " ")</f>
        <v xml:space="preserve"> </v>
      </c>
      <c r="N4" s="23" t="str">
        <f>IF(Palnilla!I12&gt;0, UPPER(Palnilla!O12), " ")</f>
        <v xml:space="preserve"> </v>
      </c>
      <c r="O4" s="23" t="str">
        <f>IF(Palnilla!I12&gt;0, UPPER(Palnilla!P12), " ")</f>
        <v xml:space="preserve"> </v>
      </c>
      <c r="P4" s="23" t="str">
        <f>IF(Palnilla!I12&gt;0, UPPER(Palnilla!Q12), " ")</f>
        <v xml:space="preserve"> </v>
      </c>
      <c r="Q4" s="37" t="str">
        <f>IF(Palnilla!I12&gt;0, UPPER(Palnilla!R12), " ")</f>
        <v xml:space="preserve"> </v>
      </c>
    </row>
    <row r="5" spans="2:17" x14ac:dyDescent="0.25">
      <c r="B5" s="30" t="str">
        <f>IF(Palnilla!I13&gt;0,Palnilla!C13," ")</f>
        <v xml:space="preserve"> </v>
      </c>
      <c r="C5" s="24" t="str">
        <f>UPPER(Palnilla!D13)</f>
        <v/>
      </c>
      <c r="D5" s="24" t="str">
        <f>UPPER(Palnilla!E13)</f>
        <v/>
      </c>
      <c r="E5" s="24" t="str">
        <f>UPPER(Palnilla!F13)</f>
        <v/>
      </c>
      <c r="F5" s="31" t="str">
        <f>IF(Palnilla!I13&gt;0, DATE(Palnilla!I13,Palnilla!H13,Palnilla!G13)," ")</f>
        <v xml:space="preserve"> </v>
      </c>
      <c r="G5" s="32" t="str">
        <f>IF(Palnilla!I13&gt;0, DATEDIF(F5,Control!$I$2,"y"), " ")</f>
        <v xml:space="preserve"> </v>
      </c>
      <c r="H5" s="24" t="str" cm="1">
        <f t="array" ref="H5">IF(Palnilla!I13&gt;0,_xlfn.IFS(G5=6,"MINI 7 AÑOS",G5=7,"MINI 7 AÑOS",G5=8,"MINI 8 AÑOS",G5=9,"MINI 9 AÑOS",G5=10,"MINI 10 AÑOS",G5=11,"PREINFANTIL 11 AÑOS",G5=12,"INFANTIL 12 AÑOS",G5=13,"JUNIOR 13 AÑOS",G5=14,"PREJUVENIL",G5=15,"JUVENIL 1ER AÑO",G5=16,"JUVENIL 2DO AÑO",G5=17,"JUVENIL 3ER AÑO",G5&gt;17,"MAYORES")," ")</f>
        <v xml:space="preserve"> </v>
      </c>
      <c r="I5" s="24" t="str">
        <f>UPPER(Palnilla!K13)</f>
        <v/>
      </c>
      <c r="J5" s="24" t="str">
        <f>UPPER(Palnilla!L13)</f>
        <v/>
      </c>
      <c r="K5" s="24" t="str">
        <f>IF(Palnilla!I13&gt;0,Palnilla!M13, " ")</f>
        <v xml:space="preserve"> </v>
      </c>
      <c r="L5" s="24" t="str">
        <f>IF(Palnilla!I13&gt;0, UPPER(Palnilla!$D$5)," ")</f>
        <v xml:space="preserve"> </v>
      </c>
      <c r="M5" s="24" t="str">
        <f>IF(Palnilla!I13&gt;0, UPPER(Palnilla!N13), " ")</f>
        <v xml:space="preserve"> </v>
      </c>
      <c r="N5" s="24" t="str">
        <f>IF(Palnilla!I13&gt;0, UPPER(Palnilla!O13), " ")</f>
        <v xml:space="preserve"> </v>
      </c>
      <c r="O5" s="24" t="str">
        <f>IF(Palnilla!I13&gt;0, UPPER(Palnilla!P13), " ")</f>
        <v xml:space="preserve"> </v>
      </c>
      <c r="P5" s="24" t="str">
        <f>IF(Palnilla!I13&gt;0, UPPER(Palnilla!Q13), " ")</f>
        <v xml:space="preserve"> </v>
      </c>
      <c r="Q5" s="33" t="str">
        <f>IF(Palnilla!I13&gt;0, UPPER(Palnilla!R13), " ")</f>
        <v xml:space="preserve"> </v>
      </c>
    </row>
    <row r="6" spans="2:17" x14ac:dyDescent="0.25">
      <c r="B6" s="34" t="str">
        <f>IF(Palnilla!I14&gt;0,Palnilla!C14," ")</f>
        <v xml:space="preserve"> </v>
      </c>
      <c r="C6" s="23" t="str">
        <f>UPPER(Palnilla!D14)</f>
        <v/>
      </c>
      <c r="D6" s="23" t="str">
        <f>UPPER(Palnilla!E14)</f>
        <v/>
      </c>
      <c r="E6" s="23" t="str">
        <f>UPPER(Palnilla!F14)</f>
        <v/>
      </c>
      <c r="F6" s="35" t="str">
        <f>IF(Palnilla!I14&gt;0, DATE(Palnilla!I14,Palnilla!H14,Palnilla!G14)," ")</f>
        <v xml:space="preserve"> </v>
      </c>
      <c r="G6" s="36" t="str">
        <f>IF(Palnilla!I14&gt;0, DATEDIF(F6,Control!$I$2,"y"), " ")</f>
        <v xml:space="preserve"> </v>
      </c>
      <c r="H6" s="23" t="str" cm="1">
        <f t="array" ref="H6">IF(Palnilla!I14&gt;0,_xlfn.IFS(G6=6,"MINI 7 AÑOS",G6=7,"MINI 7 AÑOS",G6=8,"MINI 8 AÑOS",G6=9,"MINI 9 AÑOS",G6=10,"MINI 10 AÑOS",G6=11,"PREINFANTIL 11 AÑOS",G6=12,"INFANTIL 12 AÑOS",G6=13,"JUNIOR 13 AÑOS",G6=14,"PREJUVENIL",G6=15,"JUVENIL 1ER AÑO",G6=16,"JUVENIL 2DO AÑO",G6=17,"JUVENIL 3ER AÑO",G6&gt;17,"MAYORES")," ")</f>
        <v xml:space="preserve"> </v>
      </c>
      <c r="I6" s="23" t="str">
        <f>UPPER(Palnilla!K14)</f>
        <v/>
      </c>
      <c r="J6" s="23" t="str">
        <f>UPPER(Palnilla!L14)</f>
        <v/>
      </c>
      <c r="K6" s="23" t="str">
        <f>IF(Palnilla!I14&gt;0,Palnilla!M14, " ")</f>
        <v xml:space="preserve"> </v>
      </c>
      <c r="L6" s="23" t="str">
        <f>IF(Palnilla!I14&gt;0, UPPER(Palnilla!$D$5)," ")</f>
        <v xml:space="preserve"> </v>
      </c>
      <c r="M6" s="23" t="str">
        <f>IF(Palnilla!I14&gt;0, UPPER(Palnilla!N14), " ")</f>
        <v xml:space="preserve"> </v>
      </c>
      <c r="N6" s="23" t="str">
        <f>IF(Palnilla!I14&gt;0, UPPER(Palnilla!O14), " ")</f>
        <v xml:space="preserve"> </v>
      </c>
      <c r="O6" s="23" t="str">
        <f>IF(Palnilla!I14&gt;0, UPPER(Palnilla!P14), " ")</f>
        <v xml:space="preserve"> </v>
      </c>
      <c r="P6" s="23" t="str">
        <f>IF(Palnilla!I14&gt;0, UPPER(Palnilla!Q14), " ")</f>
        <v xml:space="preserve"> </v>
      </c>
      <c r="Q6" s="37" t="str">
        <f>IF(Palnilla!I14&gt;0, UPPER(Palnilla!R14), " ")</f>
        <v xml:space="preserve"> </v>
      </c>
    </row>
    <row r="7" spans="2:17" x14ac:dyDescent="0.25">
      <c r="B7" s="30" t="str">
        <f>IF(Palnilla!I15&gt;0,Palnilla!C15," ")</f>
        <v xml:space="preserve"> </v>
      </c>
      <c r="C7" s="24" t="str">
        <f>UPPER(Palnilla!D15)</f>
        <v/>
      </c>
      <c r="D7" s="24" t="str">
        <f>UPPER(Palnilla!E15)</f>
        <v/>
      </c>
      <c r="E7" s="24" t="str">
        <f>UPPER(Palnilla!F15)</f>
        <v/>
      </c>
      <c r="F7" s="31" t="str">
        <f>IF(Palnilla!I15&gt;0, DATE(Palnilla!I15,Palnilla!H15,Palnilla!G15)," ")</f>
        <v xml:space="preserve"> </v>
      </c>
      <c r="G7" s="32" t="str">
        <f>IF(Palnilla!I15&gt;0, DATEDIF(F7,Control!$I$2,"y"), " ")</f>
        <v xml:space="preserve"> </v>
      </c>
      <c r="H7" s="24" t="str" cm="1">
        <f t="array" ref="H7">IF(Palnilla!I15&gt;0,_xlfn.IFS(G7=6,"MINI 7 AÑOS",G7=7,"MINI 7 AÑOS",G7=8,"MINI 8 AÑOS",G7=9,"MINI 9 AÑOS",G7=10,"MINI 10 AÑOS",G7=11,"PREINFANTIL 11 AÑOS",G7=12,"INFANTIL 12 AÑOS",G7=13,"JUNIOR 13 AÑOS",G7=14,"PREJUVENIL",G7=15,"JUVENIL 1ER AÑO",G7=16,"JUVENIL 2DO AÑO",G7=17,"JUVENIL 3ER AÑO",G7&gt;17,"MAYORES")," ")</f>
        <v xml:space="preserve"> </v>
      </c>
      <c r="I7" s="24" t="str">
        <f>UPPER(Palnilla!K15)</f>
        <v/>
      </c>
      <c r="J7" s="24" t="str">
        <f>UPPER(Palnilla!L15)</f>
        <v/>
      </c>
      <c r="K7" s="24" t="str">
        <f>IF(Palnilla!I15&gt;0,Palnilla!M15, " ")</f>
        <v xml:space="preserve"> </v>
      </c>
      <c r="L7" s="24" t="str">
        <f>IF(Palnilla!I15&gt;0, UPPER(Palnilla!$D$5)," ")</f>
        <v xml:space="preserve"> </v>
      </c>
      <c r="M7" s="24" t="str">
        <f>IF(Palnilla!I15&gt;0, UPPER(Palnilla!N15), " ")</f>
        <v xml:space="preserve"> </v>
      </c>
      <c r="N7" s="24" t="str">
        <f>IF(Palnilla!I15&gt;0, UPPER(Palnilla!O15), " ")</f>
        <v xml:space="preserve"> </v>
      </c>
      <c r="O7" s="24" t="str">
        <f>IF(Palnilla!I15&gt;0, UPPER(Palnilla!P15), " ")</f>
        <v xml:space="preserve"> </v>
      </c>
      <c r="P7" s="24" t="str">
        <f>IF(Palnilla!I15&gt;0, UPPER(Palnilla!Q15), " ")</f>
        <v xml:space="preserve"> </v>
      </c>
      <c r="Q7" s="33" t="str">
        <f>IF(Palnilla!I15&gt;0, UPPER(Palnilla!R15), " ")</f>
        <v xml:space="preserve"> </v>
      </c>
    </row>
    <row r="8" spans="2:17" x14ac:dyDescent="0.25">
      <c r="B8" s="34" t="str">
        <f>IF(Palnilla!I16&gt;0,Palnilla!C16," ")</f>
        <v xml:space="preserve"> </v>
      </c>
      <c r="C8" s="23" t="str">
        <f>UPPER(Palnilla!D16)</f>
        <v/>
      </c>
      <c r="D8" s="23" t="str">
        <f>UPPER(Palnilla!E16)</f>
        <v/>
      </c>
      <c r="E8" s="23" t="str">
        <f>UPPER(Palnilla!F16)</f>
        <v/>
      </c>
      <c r="F8" s="35" t="str">
        <f>IF(Palnilla!I16&gt;0, DATE(Palnilla!I16,Palnilla!H16,Palnilla!G16)," ")</f>
        <v xml:space="preserve"> </v>
      </c>
      <c r="G8" s="36" t="str">
        <f>IF(Palnilla!I16&gt;0, DATEDIF(F8,Control!$I$2,"y"), " ")</f>
        <v xml:space="preserve"> </v>
      </c>
      <c r="H8" s="23" t="str" cm="1">
        <f t="array" ref="H8">IF(Palnilla!I16&gt;0,_xlfn.IFS(G8=6,"MINI 7 AÑOS",G8=7,"MINI 7 AÑOS",G8=8,"MINI 8 AÑOS",G8=9,"MINI 9 AÑOS",G8=10,"MINI 10 AÑOS",G8=11,"PREINFANTIL 11 AÑOS",G8=12,"INFANTIL 12 AÑOS",G8=13,"JUNIOR 13 AÑOS",G8=14,"PREJUVENIL",G8=15,"JUVENIL 1ER AÑO",G8=16,"JUVENIL 2DO AÑO",G8=17,"JUVENIL 3ER AÑO",G8&gt;17,"MAYORES")," ")</f>
        <v xml:space="preserve"> </v>
      </c>
      <c r="I8" s="23" t="str">
        <f>UPPER(Palnilla!K16)</f>
        <v/>
      </c>
      <c r="J8" s="23" t="str">
        <f>UPPER(Palnilla!L16)</f>
        <v/>
      </c>
      <c r="K8" s="23" t="str">
        <f>IF(Palnilla!I16&gt;0,Palnilla!M16, " ")</f>
        <v xml:space="preserve"> </v>
      </c>
      <c r="L8" s="23" t="str">
        <f>IF(Palnilla!I16&gt;0, UPPER(Palnilla!$D$5)," ")</f>
        <v xml:space="preserve"> </v>
      </c>
      <c r="M8" s="23" t="str">
        <f>IF(Palnilla!I16&gt;0, UPPER(Palnilla!N16), " ")</f>
        <v xml:space="preserve"> </v>
      </c>
      <c r="N8" s="23" t="str">
        <f>IF(Palnilla!I16&gt;0, UPPER(Palnilla!O16), " ")</f>
        <v xml:space="preserve"> </v>
      </c>
      <c r="O8" s="23" t="str">
        <f>IF(Palnilla!I16&gt;0, UPPER(Palnilla!P16), " ")</f>
        <v xml:space="preserve"> </v>
      </c>
      <c r="P8" s="23" t="str">
        <f>IF(Palnilla!I16&gt;0, UPPER(Palnilla!Q16), " ")</f>
        <v xml:space="preserve"> </v>
      </c>
      <c r="Q8" s="37" t="str">
        <f>IF(Palnilla!I16&gt;0, UPPER(Palnilla!R16), " ")</f>
        <v xml:space="preserve"> </v>
      </c>
    </row>
    <row r="9" spans="2:17" x14ac:dyDescent="0.25">
      <c r="B9" s="30" t="str">
        <f>IF(Palnilla!I17&gt;0,Palnilla!C17," ")</f>
        <v xml:space="preserve"> </v>
      </c>
      <c r="C9" s="24" t="str">
        <f>UPPER(Palnilla!D17)</f>
        <v/>
      </c>
      <c r="D9" s="24" t="str">
        <f>UPPER(Palnilla!E17)</f>
        <v/>
      </c>
      <c r="E9" s="24" t="str">
        <f>UPPER(Palnilla!F17)</f>
        <v/>
      </c>
      <c r="F9" s="31" t="str">
        <f>IF(Palnilla!I17&gt;0, DATE(Palnilla!I17,Palnilla!H17,Palnilla!G17)," ")</f>
        <v xml:space="preserve"> </v>
      </c>
      <c r="G9" s="32" t="str">
        <f>IF(Palnilla!I17&gt;0, DATEDIF(F9,Control!$I$2,"y"), " ")</f>
        <v xml:space="preserve"> </v>
      </c>
      <c r="H9" s="24" t="str" cm="1">
        <f t="array" ref="H9">IF(Palnilla!I17&gt;0,_xlfn.IFS(G9=6,"MINI 7 AÑOS",G9=7,"MINI 7 AÑOS",G9=8,"MINI 8 AÑOS",G9=9,"MINI 9 AÑOS",G9=10,"MINI 10 AÑOS",G9=11,"PREINFANTIL 11 AÑOS",G9=12,"INFANTIL 12 AÑOS",G9=13,"JUNIOR 13 AÑOS",G9=14,"PREJUVENIL",G9=15,"JUVENIL 1ER AÑO",G9=16,"JUVENIL 2DO AÑO",G9=17,"JUVENIL 3ER AÑO",G9&gt;17,"MAYORES")," ")</f>
        <v xml:space="preserve"> </v>
      </c>
      <c r="I9" s="24" t="str">
        <f>UPPER(Palnilla!K17)</f>
        <v/>
      </c>
      <c r="J9" s="24" t="str">
        <f>UPPER(Palnilla!L17)</f>
        <v/>
      </c>
      <c r="K9" s="24" t="str">
        <f>IF(Palnilla!I17&gt;0,Palnilla!M17, " ")</f>
        <v xml:space="preserve"> </v>
      </c>
      <c r="L9" s="24" t="str">
        <f>IF(Palnilla!I17&gt;0, UPPER(Palnilla!$D$5)," ")</f>
        <v xml:space="preserve"> </v>
      </c>
      <c r="M9" s="24" t="str">
        <f>IF(Palnilla!I17&gt;0, UPPER(Palnilla!N17), " ")</f>
        <v xml:space="preserve"> </v>
      </c>
      <c r="N9" s="24" t="str">
        <f>IF(Palnilla!I17&gt;0, UPPER(Palnilla!O17), " ")</f>
        <v xml:space="preserve"> </v>
      </c>
      <c r="O9" s="24" t="str">
        <f>IF(Palnilla!I17&gt;0, UPPER(Palnilla!P17), " ")</f>
        <v xml:space="preserve"> </v>
      </c>
      <c r="P9" s="24" t="str">
        <f>IF(Palnilla!I17&gt;0, UPPER(Palnilla!Q17), " ")</f>
        <v xml:space="preserve"> </v>
      </c>
      <c r="Q9" s="33" t="str">
        <f>IF(Palnilla!I17&gt;0, UPPER(Palnilla!R17), " ")</f>
        <v xml:space="preserve"> </v>
      </c>
    </row>
    <row r="10" spans="2:17" x14ac:dyDescent="0.25">
      <c r="B10" s="34" t="str">
        <f>IF(Palnilla!I18&gt;0,Palnilla!C18," ")</f>
        <v xml:space="preserve"> </v>
      </c>
      <c r="C10" s="23" t="str">
        <f>UPPER(Palnilla!D18)</f>
        <v/>
      </c>
      <c r="D10" s="23" t="str">
        <f>UPPER(Palnilla!E18)</f>
        <v/>
      </c>
      <c r="E10" s="23" t="str">
        <f>UPPER(Palnilla!F18)</f>
        <v/>
      </c>
      <c r="F10" s="35" t="str">
        <f>IF(Palnilla!I18&gt;0, DATE(Palnilla!I18,Palnilla!H18,Palnilla!G18)," ")</f>
        <v xml:space="preserve"> </v>
      </c>
      <c r="G10" s="36" t="str">
        <f>IF(Palnilla!I18&gt;0, DATEDIF(F10,Control!$I$2,"y"), " ")</f>
        <v xml:space="preserve"> </v>
      </c>
      <c r="H10" s="23" t="str" cm="1">
        <f t="array" ref="H10">IF(Palnilla!I18&gt;0,_xlfn.IFS(G10=6,"MINI 7 AÑOS",G10=7,"MINI 7 AÑOS",G10=8,"MINI 8 AÑOS",G10=9,"MINI 9 AÑOS",G10=10,"MINI 10 AÑOS",G10=11,"PREINFANTIL 11 AÑOS",G10=12,"INFANTIL 12 AÑOS",G10=13,"JUNIOR 13 AÑOS",G10=14,"PREJUVENIL",G10=15,"JUVENIL 1ER AÑO",G10=16,"JUVENIL 2DO AÑO",G10=17,"JUVENIL 3ER AÑO",G10&gt;17,"MAYORES")," ")</f>
        <v xml:space="preserve"> </v>
      </c>
      <c r="I10" s="23" t="str">
        <f>UPPER(Palnilla!K18)</f>
        <v/>
      </c>
      <c r="J10" s="23" t="str">
        <f>UPPER(Palnilla!L18)</f>
        <v/>
      </c>
      <c r="K10" s="23" t="str">
        <f>IF(Palnilla!I18&gt;0,Palnilla!M18, " ")</f>
        <v xml:space="preserve"> </v>
      </c>
      <c r="L10" s="23" t="str">
        <f>IF(Palnilla!I18&gt;0, UPPER(Palnilla!$D$5)," ")</f>
        <v xml:space="preserve"> </v>
      </c>
      <c r="M10" s="23" t="str">
        <f>IF(Palnilla!I18&gt;0, UPPER(Palnilla!N18), " ")</f>
        <v xml:space="preserve"> </v>
      </c>
      <c r="N10" s="23" t="str">
        <f>IF(Palnilla!I18&gt;0, UPPER(Palnilla!O18), " ")</f>
        <v xml:space="preserve"> </v>
      </c>
      <c r="O10" s="23" t="str">
        <f>IF(Palnilla!I18&gt;0, UPPER(Palnilla!P18), " ")</f>
        <v xml:space="preserve"> </v>
      </c>
      <c r="P10" s="23" t="str">
        <f>IF(Palnilla!I18&gt;0, UPPER(Palnilla!Q18), " ")</f>
        <v xml:space="preserve"> </v>
      </c>
      <c r="Q10" s="37" t="str">
        <f>IF(Palnilla!I18&gt;0, UPPER(Palnilla!R18), " ")</f>
        <v xml:space="preserve"> </v>
      </c>
    </row>
    <row r="11" spans="2:17" x14ac:dyDescent="0.25">
      <c r="B11" s="30" t="str">
        <f>IF(Palnilla!I19&gt;0,Palnilla!C19," ")</f>
        <v xml:space="preserve"> </v>
      </c>
      <c r="C11" s="24" t="str">
        <f>UPPER(Palnilla!D19)</f>
        <v/>
      </c>
      <c r="D11" s="24" t="str">
        <f>UPPER(Palnilla!E19)</f>
        <v/>
      </c>
      <c r="E11" s="24" t="str">
        <f>UPPER(Palnilla!F19)</f>
        <v/>
      </c>
      <c r="F11" s="31" t="str">
        <f>IF(Palnilla!I19&gt;0, DATE(Palnilla!I19,Palnilla!H19,Palnilla!G19)," ")</f>
        <v xml:space="preserve"> </v>
      </c>
      <c r="G11" s="32" t="str">
        <f>IF(Palnilla!I19&gt;0, DATEDIF(F11,Control!$I$2,"y"), " ")</f>
        <v xml:space="preserve"> </v>
      </c>
      <c r="H11" s="24" t="str" cm="1">
        <f t="array" ref="H11">IF(Palnilla!I19&gt;0,_xlfn.IFS(G11=6,"MINI 7 AÑOS",G11=7,"MINI 7 AÑOS",G11=8,"MINI 8 AÑOS",G11=9,"MINI 9 AÑOS",G11=10,"MINI 10 AÑOS",G11=11,"PREINFANTIL 11 AÑOS",G11=12,"INFANTIL 12 AÑOS",G11=13,"JUNIOR 13 AÑOS",G11=14,"PREJUVENIL",G11=15,"JUVENIL 1ER AÑO",G11=16,"JUVENIL 2DO AÑO",G11=17,"JUVENIL 3ER AÑO",G11&gt;17,"MAYORES")," ")</f>
        <v xml:space="preserve"> </v>
      </c>
      <c r="I11" s="24" t="str">
        <f>UPPER(Palnilla!K19)</f>
        <v/>
      </c>
      <c r="J11" s="24" t="str">
        <f>UPPER(Palnilla!L19)</f>
        <v/>
      </c>
      <c r="K11" s="24" t="str">
        <f>IF(Palnilla!I19&gt;0,Palnilla!M19, " ")</f>
        <v xml:space="preserve"> </v>
      </c>
      <c r="L11" s="24" t="str">
        <f>IF(Palnilla!I19&gt;0, UPPER(Palnilla!$D$5)," ")</f>
        <v xml:space="preserve"> </v>
      </c>
      <c r="M11" s="24" t="str">
        <f>IF(Palnilla!I19&gt;0, UPPER(Palnilla!N19), " ")</f>
        <v xml:space="preserve"> </v>
      </c>
      <c r="N11" s="24" t="str">
        <f>IF(Palnilla!I19&gt;0, UPPER(Palnilla!O19), " ")</f>
        <v xml:space="preserve"> </v>
      </c>
      <c r="O11" s="24" t="str">
        <f>IF(Palnilla!I19&gt;0, UPPER(Palnilla!P19), " ")</f>
        <v xml:space="preserve"> </v>
      </c>
      <c r="P11" s="24" t="str">
        <f>IF(Palnilla!I19&gt;0, UPPER(Palnilla!Q19), " ")</f>
        <v xml:space="preserve"> </v>
      </c>
      <c r="Q11" s="33" t="str">
        <f>IF(Palnilla!I19&gt;0, UPPER(Palnilla!R19), " ")</f>
        <v xml:space="preserve"> </v>
      </c>
    </row>
    <row r="12" spans="2:17" x14ac:dyDescent="0.25">
      <c r="B12" s="34" t="str">
        <f>IF(Palnilla!I20&gt;0,Palnilla!C20," ")</f>
        <v xml:space="preserve"> </v>
      </c>
      <c r="C12" s="23" t="str">
        <f>UPPER(Palnilla!D20)</f>
        <v/>
      </c>
      <c r="D12" s="23" t="str">
        <f>UPPER(Palnilla!E20)</f>
        <v/>
      </c>
      <c r="E12" s="23" t="str">
        <f>UPPER(Palnilla!F20)</f>
        <v/>
      </c>
      <c r="F12" s="35" t="str">
        <f>IF(Palnilla!I20&gt;0, DATE(Palnilla!I20,Palnilla!H20,Palnilla!G20)," ")</f>
        <v xml:space="preserve"> </v>
      </c>
      <c r="G12" s="36" t="str">
        <f>IF(Palnilla!I20&gt;0, DATEDIF(F12,Control!$I$2,"y"), " ")</f>
        <v xml:space="preserve"> </v>
      </c>
      <c r="H12" s="23" t="str" cm="1">
        <f t="array" ref="H12">IF(Palnilla!I20&gt;0,_xlfn.IFS(G12=6,"MINI 7 AÑOS",G12=7,"MINI 7 AÑOS",G12=8,"MINI 8 AÑOS",G12=9,"MINI 9 AÑOS",G12=10,"MINI 10 AÑOS",G12=11,"PREINFANTIL 11 AÑOS",G12=12,"INFANTIL 12 AÑOS",G12=13,"JUNIOR 13 AÑOS",G12=14,"PREJUVENIL",G12=15,"JUVENIL 1ER AÑO",G12=16,"JUVENIL 2DO AÑO",G12=17,"JUVENIL 3ER AÑO",G12&gt;17,"MAYORES")," ")</f>
        <v xml:space="preserve"> </v>
      </c>
      <c r="I12" s="23" t="str">
        <f>UPPER(Palnilla!K20)</f>
        <v/>
      </c>
      <c r="J12" s="23" t="str">
        <f>UPPER(Palnilla!L20)</f>
        <v/>
      </c>
      <c r="K12" s="23" t="str">
        <f>IF(Palnilla!I20&gt;0,Palnilla!M20, " ")</f>
        <v xml:space="preserve"> </v>
      </c>
      <c r="L12" s="23" t="str">
        <f>IF(Palnilla!I20&gt;0, UPPER(Palnilla!$D$5)," ")</f>
        <v xml:space="preserve"> </v>
      </c>
      <c r="M12" s="23" t="str">
        <f>IF(Palnilla!I20&gt;0, UPPER(Palnilla!N20), " ")</f>
        <v xml:space="preserve"> </v>
      </c>
      <c r="N12" s="23" t="str">
        <f>IF(Palnilla!I20&gt;0, UPPER(Palnilla!O20), " ")</f>
        <v xml:space="preserve"> </v>
      </c>
      <c r="O12" s="23" t="str">
        <f>IF(Palnilla!I20&gt;0, UPPER(Palnilla!P20), " ")</f>
        <v xml:space="preserve"> </v>
      </c>
      <c r="P12" s="23" t="str">
        <f>IF(Palnilla!I20&gt;0, UPPER(Palnilla!Q20), " ")</f>
        <v xml:space="preserve"> </v>
      </c>
      <c r="Q12" s="37" t="str">
        <f>IF(Palnilla!I20&gt;0, UPPER(Palnilla!R20), " ")</f>
        <v xml:space="preserve"> </v>
      </c>
    </row>
    <row r="13" spans="2:17" x14ac:dyDescent="0.25">
      <c r="B13" s="30" t="str">
        <f>IF(Palnilla!I21&gt;0,Palnilla!C21," ")</f>
        <v xml:space="preserve"> </v>
      </c>
      <c r="C13" s="24" t="str">
        <f>UPPER(Palnilla!D21)</f>
        <v/>
      </c>
      <c r="D13" s="24" t="str">
        <f>UPPER(Palnilla!E21)</f>
        <v/>
      </c>
      <c r="E13" s="24" t="str">
        <f>UPPER(Palnilla!F21)</f>
        <v/>
      </c>
      <c r="F13" s="31" t="str">
        <f>IF(Palnilla!I21&gt;0, DATE(Palnilla!I21,Palnilla!H21,Palnilla!G21)," ")</f>
        <v xml:space="preserve"> </v>
      </c>
      <c r="G13" s="32" t="str">
        <f>IF(Palnilla!I21&gt;0, DATEDIF(F13,Control!$I$2,"y"), " ")</f>
        <v xml:space="preserve"> </v>
      </c>
      <c r="H13" s="24" t="str" cm="1">
        <f t="array" ref="H13">IF(Palnilla!I21&gt;0,_xlfn.IFS(G13=6,"MINI 7 AÑOS",G13=7,"MINI 7 AÑOS",G13=8,"MINI 8 AÑOS",G13=9,"MINI 9 AÑOS",G13=10,"MINI 10 AÑOS",G13=11,"PREINFANTIL 11 AÑOS",G13=12,"INFANTIL 12 AÑOS",G13=13,"JUNIOR 13 AÑOS",G13=14,"PREJUVENIL",G13=15,"JUVENIL 1ER AÑO",G13=16,"JUVENIL 2DO AÑO",G13=17,"JUVENIL 3ER AÑO",G13&gt;17,"MAYORES")," ")</f>
        <v xml:space="preserve"> </v>
      </c>
      <c r="I13" s="24" t="str">
        <f>UPPER(Palnilla!K21)</f>
        <v/>
      </c>
      <c r="J13" s="24" t="str">
        <f>UPPER(Palnilla!L21)</f>
        <v/>
      </c>
      <c r="K13" s="24" t="str">
        <f>IF(Palnilla!I21&gt;0,Palnilla!M21, " ")</f>
        <v xml:space="preserve"> </v>
      </c>
      <c r="L13" s="24" t="str">
        <f>IF(Palnilla!I21&gt;0, UPPER(Palnilla!$D$5)," ")</f>
        <v xml:space="preserve"> </v>
      </c>
      <c r="M13" s="24" t="str">
        <f>IF(Palnilla!I21&gt;0, UPPER(Palnilla!N21), " ")</f>
        <v xml:space="preserve"> </v>
      </c>
      <c r="N13" s="24" t="str">
        <f>IF(Palnilla!I21&gt;0, UPPER(Palnilla!O21), " ")</f>
        <v xml:space="preserve"> </v>
      </c>
      <c r="O13" s="24" t="str">
        <f>IF(Palnilla!I21&gt;0, UPPER(Palnilla!P21), " ")</f>
        <v xml:space="preserve"> </v>
      </c>
      <c r="P13" s="24" t="str">
        <f>IF(Palnilla!I21&gt;0, UPPER(Palnilla!Q21), " ")</f>
        <v xml:space="preserve"> </v>
      </c>
      <c r="Q13" s="33" t="str">
        <f>IF(Palnilla!I21&gt;0, UPPER(Palnilla!R21), " ")</f>
        <v xml:space="preserve"> </v>
      </c>
    </row>
    <row r="14" spans="2:17" x14ac:dyDescent="0.25">
      <c r="B14" s="34" t="str">
        <f>IF(Palnilla!I22&gt;0,Palnilla!C22," ")</f>
        <v xml:space="preserve"> </v>
      </c>
      <c r="C14" s="23" t="str">
        <f>UPPER(Palnilla!D22)</f>
        <v/>
      </c>
      <c r="D14" s="23" t="str">
        <f>UPPER(Palnilla!E22)</f>
        <v/>
      </c>
      <c r="E14" s="23" t="str">
        <f>UPPER(Palnilla!F22)</f>
        <v/>
      </c>
      <c r="F14" s="35" t="str">
        <f>IF(Palnilla!I22&gt;0, DATE(Palnilla!I22,Palnilla!H22,Palnilla!G22)," ")</f>
        <v xml:space="preserve"> </v>
      </c>
      <c r="G14" s="36" t="str">
        <f>IF(Palnilla!I22&gt;0, DATEDIF(F14,Control!$I$2,"y"), " ")</f>
        <v xml:space="preserve"> </v>
      </c>
      <c r="H14" s="23" t="str" cm="1">
        <f t="array" ref="H14">IF(Palnilla!I22&gt;0,_xlfn.IFS(G14=6,"MINI 7 AÑOS",G14=7,"MINI 7 AÑOS",G14=8,"MINI 8 AÑOS",G14=9,"MINI 9 AÑOS",G14=10,"MINI 10 AÑOS",G14=11,"PREINFANTIL 11 AÑOS",G14=12,"INFANTIL 12 AÑOS",G14=13,"JUNIOR 13 AÑOS",G14=14,"PREJUVENIL",G14=15,"JUVENIL 1ER AÑO",G14=16,"JUVENIL 2DO AÑO",G14=17,"JUVENIL 3ER AÑO",G14&gt;17,"MAYORES")," ")</f>
        <v xml:space="preserve"> </v>
      </c>
      <c r="I14" s="23" t="str">
        <f>UPPER(Palnilla!K22)</f>
        <v/>
      </c>
      <c r="J14" s="23" t="str">
        <f>UPPER(Palnilla!L22)</f>
        <v/>
      </c>
      <c r="K14" s="23" t="str">
        <f>IF(Palnilla!I22&gt;0,Palnilla!M22, " ")</f>
        <v xml:space="preserve"> </v>
      </c>
      <c r="L14" s="23" t="str">
        <f>IF(Palnilla!I22&gt;0, UPPER(Palnilla!$D$5)," ")</f>
        <v xml:space="preserve"> </v>
      </c>
      <c r="M14" s="23" t="str">
        <f>IF(Palnilla!I22&gt;0, UPPER(Palnilla!N22), " ")</f>
        <v xml:space="preserve"> </v>
      </c>
      <c r="N14" s="23" t="str">
        <f>IF(Palnilla!I22&gt;0, UPPER(Palnilla!O22), " ")</f>
        <v xml:space="preserve"> </v>
      </c>
      <c r="O14" s="23" t="str">
        <f>IF(Palnilla!I22&gt;0, UPPER(Palnilla!P22), " ")</f>
        <v xml:space="preserve"> </v>
      </c>
      <c r="P14" s="23" t="str">
        <f>IF(Palnilla!I22&gt;0, UPPER(Palnilla!Q22), " ")</f>
        <v xml:space="preserve"> </v>
      </c>
      <c r="Q14" s="37" t="str">
        <f>IF(Palnilla!I22&gt;0, UPPER(Palnilla!R22), " ")</f>
        <v xml:space="preserve"> </v>
      </c>
    </row>
    <row r="15" spans="2:17" x14ac:dyDescent="0.25">
      <c r="B15" s="30" t="str">
        <f>IF(Palnilla!I23&gt;0,Palnilla!C23," ")</f>
        <v xml:space="preserve"> </v>
      </c>
      <c r="C15" s="24" t="str">
        <f>UPPER(Palnilla!D23)</f>
        <v/>
      </c>
      <c r="D15" s="24" t="str">
        <f>UPPER(Palnilla!E23)</f>
        <v/>
      </c>
      <c r="E15" s="24" t="str">
        <f>UPPER(Palnilla!F23)</f>
        <v/>
      </c>
      <c r="F15" s="31" t="str">
        <f>IF(Palnilla!I23&gt;0, DATE(Palnilla!I23,Palnilla!H23,Palnilla!G23)," ")</f>
        <v xml:space="preserve"> </v>
      </c>
      <c r="G15" s="32" t="str">
        <f>IF(Palnilla!I23&gt;0, DATEDIF(F15,Control!$I$2,"y"), " ")</f>
        <v xml:space="preserve"> </v>
      </c>
      <c r="H15" s="24" t="str" cm="1">
        <f t="array" ref="H15">IF(Palnilla!I23&gt;0,_xlfn.IFS(G15=6,"MINI 7 AÑOS",G15=7,"MINI 7 AÑOS",G15=8,"MINI 8 AÑOS",G15=9,"MINI 9 AÑOS",G15=10,"MINI 10 AÑOS",G15=11,"PREINFANTIL 11 AÑOS",G15=12,"INFANTIL 12 AÑOS",G15=13,"JUNIOR 13 AÑOS",G15=14,"PREJUVENIL",G15=15,"JUVENIL 1ER AÑO",G15=16,"JUVENIL 2DO AÑO",G15=17,"JUVENIL 3ER AÑO",G15&gt;17,"MAYORES")," ")</f>
        <v xml:space="preserve"> </v>
      </c>
      <c r="I15" s="24" t="str">
        <f>UPPER(Palnilla!K23)</f>
        <v/>
      </c>
      <c r="J15" s="24" t="str">
        <f>UPPER(Palnilla!L23)</f>
        <v/>
      </c>
      <c r="K15" s="24" t="str">
        <f>IF(Palnilla!I23&gt;0,Palnilla!M23, " ")</f>
        <v xml:space="preserve"> </v>
      </c>
      <c r="L15" s="24" t="str">
        <f>IF(Palnilla!I23&gt;0, UPPER(Palnilla!$D$5)," ")</f>
        <v xml:space="preserve"> </v>
      </c>
      <c r="M15" s="24" t="str">
        <f>IF(Palnilla!I23&gt;0, UPPER(Palnilla!N23), " ")</f>
        <v xml:space="preserve"> </v>
      </c>
      <c r="N15" s="24" t="str">
        <f>IF(Palnilla!I23&gt;0, UPPER(Palnilla!O23), " ")</f>
        <v xml:space="preserve"> </v>
      </c>
      <c r="O15" s="24" t="str">
        <f>IF(Palnilla!I23&gt;0, UPPER(Palnilla!P23), " ")</f>
        <v xml:space="preserve"> </v>
      </c>
      <c r="P15" s="24" t="str">
        <f>IF(Palnilla!I23&gt;0, UPPER(Palnilla!Q23), " ")</f>
        <v xml:space="preserve"> </v>
      </c>
      <c r="Q15" s="33" t="str">
        <f>IF(Palnilla!I23&gt;0, UPPER(Palnilla!R23), " ")</f>
        <v xml:space="preserve"> </v>
      </c>
    </row>
    <row r="16" spans="2:17" x14ac:dyDescent="0.25">
      <c r="B16" s="34" t="str">
        <f>IF(Palnilla!I24&gt;0,Palnilla!C24," ")</f>
        <v xml:space="preserve"> </v>
      </c>
      <c r="C16" s="23" t="str">
        <f>UPPER(Palnilla!D24)</f>
        <v/>
      </c>
      <c r="D16" s="23" t="str">
        <f>UPPER(Palnilla!E24)</f>
        <v/>
      </c>
      <c r="E16" s="23" t="str">
        <f>UPPER(Palnilla!F24)</f>
        <v/>
      </c>
      <c r="F16" s="35" t="str">
        <f>IF(Palnilla!I24&gt;0, DATE(Palnilla!I24,Palnilla!H24,Palnilla!G24)," ")</f>
        <v xml:space="preserve"> </v>
      </c>
      <c r="G16" s="36" t="str">
        <f>IF(Palnilla!I24&gt;0, DATEDIF(F16,Control!$I$2,"y"), " ")</f>
        <v xml:space="preserve"> </v>
      </c>
      <c r="H16" s="23" t="str" cm="1">
        <f t="array" ref="H16">IF(Palnilla!I24&gt;0,_xlfn.IFS(G16=6,"MINI 7 AÑOS",G16=7,"MINI 7 AÑOS",G16=8,"MINI 8 AÑOS",G16=9,"MINI 9 AÑOS",G16=10,"MINI 10 AÑOS",G16=11,"PREINFANTIL 11 AÑOS",G16=12,"INFANTIL 12 AÑOS",G16=13,"JUNIOR 13 AÑOS",G16=14,"PREJUVENIL",G16=15,"JUVENIL 1ER AÑO",G16=16,"JUVENIL 2DO AÑO",G16=17,"JUVENIL 3ER AÑO",G16&gt;17,"MAYORES")," ")</f>
        <v xml:space="preserve"> </v>
      </c>
      <c r="I16" s="23" t="str">
        <f>UPPER(Palnilla!K24)</f>
        <v/>
      </c>
      <c r="J16" s="23" t="str">
        <f>UPPER(Palnilla!L24)</f>
        <v/>
      </c>
      <c r="K16" s="23" t="str">
        <f>IF(Palnilla!I24&gt;0,Palnilla!M24, " ")</f>
        <v xml:space="preserve"> </v>
      </c>
      <c r="L16" s="23" t="str">
        <f>IF(Palnilla!I24&gt;0, UPPER(Palnilla!$D$5)," ")</f>
        <v xml:space="preserve"> </v>
      </c>
      <c r="M16" s="23" t="str">
        <f>IF(Palnilla!I24&gt;0, UPPER(Palnilla!N24), " ")</f>
        <v xml:space="preserve"> </v>
      </c>
      <c r="N16" s="23" t="str">
        <f>IF(Palnilla!I24&gt;0, UPPER(Palnilla!O24), " ")</f>
        <v xml:space="preserve"> </v>
      </c>
      <c r="O16" s="23" t="str">
        <f>IF(Palnilla!I24&gt;0, UPPER(Palnilla!P24), " ")</f>
        <v xml:space="preserve"> </v>
      </c>
      <c r="P16" s="23" t="str">
        <f>IF(Palnilla!I24&gt;0, UPPER(Palnilla!Q24), " ")</f>
        <v xml:space="preserve"> </v>
      </c>
      <c r="Q16" s="37" t="str">
        <f>IF(Palnilla!I24&gt;0, UPPER(Palnilla!R24), " ")</f>
        <v xml:space="preserve"> </v>
      </c>
    </row>
    <row r="17" spans="2:17" x14ac:dyDescent="0.25">
      <c r="B17" s="30" t="str">
        <f>IF(Palnilla!I25&gt;0,Palnilla!C25," ")</f>
        <v xml:space="preserve"> </v>
      </c>
      <c r="C17" s="24" t="str">
        <f>UPPER(Palnilla!D25)</f>
        <v/>
      </c>
      <c r="D17" s="24" t="str">
        <f>UPPER(Palnilla!E25)</f>
        <v/>
      </c>
      <c r="E17" s="24" t="str">
        <f>UPPER(Palnilla!F25)</f>
        <v/>
      </c>
      <c r="F17" s="31" t="str">
        <f>IF(Palnilla!I25&gt;0, DATE(Palnilla!I25,Palnilla!H25,Palnilla!G25)," ")</f>
        <v xml:space="preserve"> </v>
      </c>
      <c r="G17" s="32" t="str">
        <f>IF(Palnilla!I25&gt;0, DATEDIF(F17,Control!$I$2,"y"), " ")</f>
        <v xml:space="preserve"> </v>
      </c>
      <c r="H17" s="24" t="str" cm="1">
        <f t="array" ref="H17">IF(Palnilla!I25&gt;0,_xlfn.IFS(G17=6,"MINI 7 AÑOS",G17=7,"MINI 7 AÑOS",G17=8,"MINI 8 AÑOS",G17=9,"MINI 9 AÑOS",G17=10,"MINI 10 AÑOS",G17=11,"PREINFANTIL 11 AÑOS",G17=12,"INFANTIL 12 AÑOS",G17=13,"JUNIOR 13 AÑOS",G17=14,"PREJUVENIL",G17=15,"JUVENIL 1ER AÑO",G17=16,"JUVENIL 2DO AÑO",G17=17,"JUVENIL 3ER AÑO",G17&gt;17,"MAYORES")," ")</f>
        <v xml:space="preserve"> </v>
      </c>
      <c r="I17" s="24" t="str">
        <f>UPPER(Palnilla!K25)</f>
        <v/>
      </c>
      <c r="J17" s="24" t="str">
        <f>UPPER(Palnilla!L25)</f>
        <v/>
      </c>
      <c r="K17" s="24" t="str">
        <f>IF(Palnilla!I25&gt;0,Palnilla!M25, " ")</f>
        <v xml:space="preserve"> </v>
      </c>
      <c r="L17" s="24" t="str">
        <f>IF(Palnilla!I25&gt;0, UPPER(Palnilla!$D$5)," ")</f>
        <v xml:space="preserve"> </v>
      </c>
      <c r="M17" s="24" t="str">
        <f>IF(Palnilla!I25&gt;0, UPPER(Palnilla!N25), " ")</f>
        <v xml:space="preserve"> </v>
      </c>
      <c r="N17" s="24" t="str">
        <f>IF(Palnilla!I25&gt;0, UPPER(Palnilla!O25), " ")</f>
        <v xml:space="preserve"> </v>
      </c>
      <c r="O17" s="24" t="str">
        <f>IF(Palnilla!I25&gt;0, UPPER(Palnilla!P25), " ")</f>
        <v xml:space="preserve"> </v>
      </c>
      <c r="P17" s="24" t="str">
        <f>IF(Palnilla!I25&gt;0, UPPER(Palnilla!Q25), " ")</f>
        <v xml:space="preserve"> </v>
      </c>
      <c r="Q17" s="33" t="str">
        <f>IF(Palnilla!I25&gt;0, UPPER(Palnilla!R25), " ")</f>
        <v xml:space="preserve"> </v>
      </c>
    </row>
    <row r="18" spans="2:17" x14ac:dyDescent="0.25">
      <c r="B18" s="34" t="str">
        <f>IF(Palnilla!I26&gt;0,Palnilla!C26," ")</f>
        <v xml:space="preserve"> </v>
      </c>
      <c r="C18" s="23" t="str">
        <f>UPPER(Palnilla!D26)</f>
        <v/>
      </c>
      <c r="D18" s="23" t="str">
        <f>UPPER(Palnilla!E26)</f>
        <v/>
      </c>
      <c r="E18" s="23" t="str">
        <f>UPPER(Palnilla!F26)</f>
        <v/>
      </c>
      <c r="F18" s="35" t="str">
        <f>IF(Palnilla!I26&gt;0, DATE(Palnilla!I26,Palnilla!H26,Palnilla!G26)," ")</f>
        <v xml:space="preserve"> </v>
      </c>
      <c r="G18" s="36" t="str">
        <f>IF(Palnilla!I26&gt;0, DATEDIF(F18,Control!$I$2,"y"), " ")</f>
        <v xml:space="preserve"> </v>
      </c>
      <c r="H18" s="23" t="str" cm="1">
        <f t="array" ref="H18">IF(Palnilla!I26&gt;0,_xlfn.IFS(G18=6,"MINI 7 AÑOS",G18=7,"MINI 7 AÑOS",G18=8,"MINI 8 AÑOS",G18=9,"MINI 9 AÑOS",G18=10,"MINI 10 AÑOS",G18=11,"PREINFANTIL 11 AÑOS",G18=12,"INFANTIL 12 AÑOS",G18=13,"JUNIOR 13 AÑOS",G18=14,"PREJUVENIL",G18=15,"JUVENIL 1ER AÑO",G18=16,"JUVENIL 2DO AÑO",G18=17,"JUVENIL 3ER AÑO",G18&gt;17,"MAYORES")," ")</f>
        <v xml:space="preserve"> </v>
      </c>
      <c r="I18" s="23" t="str">
        <f>UPPER(Palnilla!K26)</f>
        <v/>
      </c>
      <c r="J18" s="23" t="str">
        <f>UPPER(Palnilla!L26)</f>
        <v/>
      </c>
      <c r="K18" s="23" t="str">
        <f>IF(Palnilla!I26&gt;0,Palnilla!M26, " ")</f>
        <v xml:space="preserve"> </v>
      </c>
      <c r="L18" s="23" t="str">
        <f>IF(Palnilla!I26&gt;0, UPPER(Palnilla!$D$5)," ")</f>
        <v xml:space="preserve"> </v>
      </c>
      <c r="M18" s="23" t="str">
        <f>IF(Palnilla!I26&gt;0, UPPER(Palnilla!N26), " ")</f>
        <v xml:space="preserve"> </v>
      </c>
      <c r="N18" s="23" t="str">
        <f>IF(Palnilla!I26&gt;0, UPPER(Palnilla!O26), " ")</f>
        <v xml:space="preserve"> </v>
      </c>
      <c r="O18" s="23" t="str">
        <f>IF(Palnilla!I26&gt;0, UPPER(Palnilla!P26), " ")</f>
        <v xml:space="preserve"> </v>
      </c>
      <c r="P18" s="23" t="str">
        <f>IF(Palnilla!I26&gt;0, UPPER(Palnilla!Q26), " ")</f>
        <v xml:space="preserve"> </v>
      </c>
      <c r="Q18" s="37" t="str">
        <f>IF(Palnilla!I26&gt;0, UPPER(Palnilla!R26), " ")</f>
        <v xml:space="preserve"> </v>
      </c>
    </row>
    <row r="19" spans="2:17" x14ac:dyDescent="0.25">
      <c r="B19" s="30" t="str">
        <f>IF(Palnilla!I27&gt;0,Palnilla!C27," ")</f>
        <v xml:space="preserve"> </v>
      </c>
      <c r="C19" s="24" t="str">
        <f>UPPER(Palnilla!D27)</f>
        <v/>
      </c>
      <c r="D19" s="24" t="str">
        <f>UPPER(Palnilla!E27)</f>
        <v/>
      </c>
      <c r="E19" s="24" t="str">
        <f>UPPER(Palnilla!F27)</f>
        <v/>
      </c>
      <c r="F19" s="31" t="str">
        <f>IF(Palnilla!I27&gt;0, DATE(Palnilla!I27,Palnilla!H27,Palnilla!G27)," ")</f>
        <v xml:space="preserve"> </v>
      </c>
      <c r="G19" s="32" t="str">
        <f>IF(Palnilla!I27&gt;0, DATEDIF(F19,Control!$I$2,"y"), " ")</f>
        <v xml:space="preserve"> </v>
      </c>
      <c r="H19" s="24" t="str" cm="1">
        <f t="array" ref="H19">IF(Palnilla!I27&gt;0,_xlfn.IFS(G19=6,"MINI 7 AÑOS",G19=7,"MINI 7 AÑOS",G19=8,"MINI 8 AÑOS",G19=9,"MINI 9 AÑOS",G19=10,"MINI 10 AÑOS",G19=11,"PREINFANTIL 11 AÑOS",G19=12,"INFANTIL 12 AÑOS",G19=13,"JUNIOR 13 AÑOS",G19=14,"PREJUVENIL",G19=15,"JUVENIL 1ER AÑO",G19=16,"JUVENIL 2DO AÑO",G19=17,"JUVENIL 3ER AÑO",G19&gt;17,"MAYORES")," ")</f>
        <v xml:space="preserve"> </v>
      </c>
      <c r="I19" s="24" t="str">
        <f>UPPER(Palnilla!K27)</f>
        <v/>
      </c>
      <c r="J19" s="24" t="str">
        <f>UPPER(Palnilla!L27)</f>
        <v/>
      </c>
      <c r="K19" s="24" t="str">
        <f>IF(Palnilla!I27&gt;0,Palnilla!M27, " ")</f>
        <v xml:space="preserve"> </v>
      </c>
      <c r="L19" s="24" t="str">
        <f>IF(Palnilla!I27&gt;0, UPPER(Palnilla!$D$5)," ")</f>
        <v xml:space="preserve"> </v>
      </c>
      <c r="M19" s="24" t="str">
        <f>IF(Palnilla!I27&gt;0, UPPER(Palnilla!N27), " ")</f>
        <v xml:space="preserve"> </v>
      </c>
      <c r="N19" s="24" t="str">
        <f>IF(Palnilla!I27&gt;0, UPPER(Palnilla!O27), " ")</f>
        <v xml:space="preserve"> </v>
      </c>
      <c r="O19" s="24" t="str">
        <f>IF(Palnilla!I27&gt;0, UPPER(Palnilla!P27), " ")</f>
        <v xml:space="preserve"> </v>
      </c>
      <c r="P19" s="24" t="str">
        <f>IF(Palnilla!I27&gt;0, UPPER(Palnilla!Q27), " ")</f>
        <v xml:space="preserve"> </v>
      </c>
      <c r="Q19" s="33" t="str">
        <f>IF(Palnilla!I27&gt;0, UPPER(Palnilla!R27), " ")</f>
        <v xml:space="preserve"> </v>
      </c>
    </row>
    <row r="20" spans="2:17" x14ac:dyDescent="0.25">
      <c r="B20" s="34" t="str">
        <f>IF(Palnilla!I28&gt;0,Palnilla!C28," ")</f>
        <v xml:space="preserve"> </v>
      </c>
      <c r="C20" s="23" t="str">
        <f>UPPER(Palnilla!D28)</f>
        <v/>
      </c>
      <c r="D20" s="23" t="str">
        <f>UPPER(Palnilla!E28)</f>
        <v/>
      </c>
      <c r="E20" s="23" t="str">
        <f>UPPER(Palnilla!F28)</f>
        <v/>
      </c>
      <c r="F20" s="35" t="str">
        <f>IF(Palnilla!I28&gt;0, DATE(Palnilla!I28,Palnilla!H28,Palnilla!G28)," ")</f>
        <v xml:space="preserve"> </v>
      </c>
      <c r="G20" s="36" t="str">
        <f>IF(Palnilla!I28&gt;0, DATEDIF(F20,Control!$I$2,"y"), " ")</f>
        <v xml:space="preserve"> </v>
      </c>
      <c r="H20" s="23" t="str" cm="1">
        <f t="array" ref="H20">IF(Palnilla!I28&gt;0,_xlfn.IFS(G20=6,"MINI 7 AÑOS",G20=7,"MINI 7 AÑOS",G20=8,"MINI 8 AÑOS",G20=9,"MINI 9 AÑOS",G20=10,"MINI 10 AÑOS",G20=11,"PREINFANTIL 11 AÑOS",G20=12,"INFANTIL 12 AÑOS",G20=13,"JUNIOR 13 AÑOS",G20=14,"PREJUVENIL",G20=15,"JUVENIL 1ER AÑO",G20=16,"JUVENIL 2DO AÑO",G20=17,"JUVENIL 3ER AÑO",G20&gt;17,"MAYORES")," ")</f>
        <v xml:space="preserve"> </v>
      </c>
      <c r="I20" s="23" t="str">
        <f>UPPER(Palnilla!K28)</f>
        <v/>
      </c>
      <c r="J20" s="23" t="str">
        <f>UPPER(Palnilla!L28)</f>
        <v/>
      </c>
      <c r="K20" s="23" t="str">
        <f>IF(Palnilla!I28&gt;0,Palnilla!M28, " ")</f>
        <v xml:space="preserve"> </v>
      </c>
      <c r="L20" s="23" t="str">
        <f>IF(Palnilla!I28&gt;0, UPPER(Palnilla!$D$5)," ")</f>
        <v xml:space="preserve"> </v>
      </c>
      <c r="M20" s="23" t="str">
        <f>IF(Palnilla!I28&gt;0, UPPER(Palnilla!N28), " ")</f>
        <v xml:space="preserve"> </v>
      </c>
      <c r="N20" s="23" t="str">
        <f>IF(Palnilla!I28&gt;0, UPPER(Palnilla!O28), " ")</f>
        <v xml:space="preserve"> </v>
      </c>
      <c r="O20" s="23" t="str">
        <f>IF(Palnilla!I28&gt;0, UPPER(Palnilla!P28), " ")</f>
        <v xml:space="preserve"> </v>
      </c>
      <c r="P20" s="23" t="str">
        <f>IF(Palnilla!I28&gt;0, UPPER(Palnilla!Q28), " ")</f>
        <v xml:space="preserve"> </v>
      </c>
      <c r="Q20" s="37" t="str">
        <f>IF(Palnilla!I28&gt;0, UPPER(Palnilla!R28), " ")</f>
        <v xml:space="preserve"> </v>
      </c>
    </row>
    <row r="21" spans="2:17" x14ac:dyDescent="0.25">
      <c r="B21" s="30" t="str">
        <f>IF(Palnilla!I29&gt;0,Palnilla!C29," ")</f>
        <v xml:space="preserve"> </v>
      </c>
      <c r="C21" s="24" t="str">
        <f>UPPER(Palnilla!D29)</f>
        <v/>
      </c>
      <c r="D21" s="24" t="str">
        <f>UPPER(Palnilla!E29)</f>
        <v/>
      </c>
      <c r="E21" s="24" t="str">
        <f>UPPER(Palnilla!F29)</f>
        <v/>
      </c>
      <c r="F21" s="31" t="str">
        <f>IF(Palnilla!I29&gt;0, DATE(Palnilla!I29,Palnilla!H29,Palnilla!G29)," ")</f>
        <v xml:space="preserve"> </v>
      </c>
      <c r="G21" s="32" t="str">
        <f>IF(Palnilla!I29&gt;0, DATEDIF(F21,Control!$I$2,"y"), " ")</f>
        <v xml:space="preserve"> </v>
      </c>
      <c r="H21" s="24" t="str" cm="1">
        <f t="array" ref="H21">IF(Palnilla!I29&gt;0,_xlfn.IFS(G21=6,"MINI 7 AÑOS",G21=7,"MINI 7 AÑOS",G21=8,"MINI 8 AÑOS",G21=9,"MINI 9 AÑOS",G21=10,"MINI 10 AÑOS",G21=11,"PREINFANTIL 11 AÑOS",G21=12,"INFANTIL 12 AÑOS",G21=13,"JUNIOR 13 AÑOS",G21=14,"PREJUVENIL",G21=15,"JUVENIL 1ER AÑO",G21=16,"JUVENIL 2DO AÑO",G21=17,"JUVENIL 3ER AÑO",G21&gt;17,"MAYORES")," ")</f>
        <v xml:space="preserve"> </v>
      </c>
      <c r="I21" s="24" t="str">
        <f>UPPER(Palnilla!K29)</f>
        <v/>
      </c>
      <c r="J21" s="24" t="str">
        <f>UPPER(Palnilla!L29)</f>
        <v/>
      </c>
      <c r="K21" s="24" t="str">
        <f>IF(Palnilla!I29&gt;0,Palnilla!M29, " ")</f>
        <v xml:space="preserve"> </v>
      </c>
      <c r="L21" s="24" t="str">
        <f>IF(Palnilla!I29&gt;0, UPPER(Palnilla!$D$5)," ")</f>
        <v xml:space="preserve"> </v>
      </c>
      <c r="M21" s="24" t="str">
        <f>IF(Palnilla!I29&gt;0, UPPER(Palnilla!N29), " ")</f>
        <v xml:space="preserve"> </v>
      </c>
      <c r="N21" s="24" t="str">
        <f>IF(Palnilla!I29&gt;0, UPPER(Palnilla!O29), " ")</f>
        <v xml:space="preserve"> </v>
      </c>
      <c r="O21" s="24" t="str">
        <f>IF(Palnilla!I29&gt;0, UPPER(Palnilla!P29), " ")</f>
        <v xml:space="preserve"> </v>
      </c>
      <c r="P21" s="24" t="str">
        <f>IF(Palnilla!I29&gt;0, UPPER(Palnilla!Q29), " ")</f>
        <v xml:space="preserve"> </v>
      </c>
      <c r="Q21" s="33" t="str">
        <f>IF(Palnilla!I29&gt;0, UPPER(Palnilla!R29), " ")</f>
        <v xml:space="preserve"> </v>
      </c>
    </row>
    <row r="22" spans="2:17" x14ac:dyDescent="0.25">
      <c r="B22" s="34" t="str">
        <f>IF(Palnilla!I30&gt;0,Palnilla!C30," ")</f>
        <v xml:space="preserve"> </v>
      </c>
      <c r="C22" s="23" t="str">
        <f>UPPER(Palnilla!D30)</f>
        <v/>
      </c>
      <c r="D22" s="23" t="str">
        <f>UPPER(Palnilla!E30)</f>
        <v/>
      </c>
      <c r="E22" s="23" t="str">
        <f>UPPER(Palnilla!F30)</f>
        <v/>
      </c>
      <c r="F22" s="35" t="str">
        <f>IF(Palnilla!I30&gt;0, DATE(Palnilla!I30,Palnilla!H30,Palnilla!G30)," ")</f>
        <v xml:space="preserve"> </v>
      </c>
      <c r="G22" s="36" t="str">
        <f>IF(Palnilla!I30&gt;0, DATEDIF(F22,Control!$I$2,"y"), " ")</f>
        <v xml:space="preserve"> </v>
      </c>
      <c r="H22" s="23" t="str" cm="1">
        <f t="array" ref="H22">IF(Palnilla!I30&gt;0,_xlfn.IFS(G22=6,"MINI 7 AÑOS",G22=7,"MINI 7 AÑOS",G22=8,"MINI 8 AÑOS",G22=9,"MINI 9 AÑOS",G22=10,"MINI 10 AÑOS",G22=11,"PREINFANTIL 11 AÑOS",G22=12,"INFANTIL 12 AÑOS",G22=13,"JUNIOR 13 AÑOS",G22=14,"PREJUVENIL",G22=15,"JUVENIL 1ER AÑO",G22=16,"JUVENIL 2DO AÑO",G22=17,"JUVENIL 3ER AÑO",G22&gt;17,"MAYORES")," ")</f>
        <v xml:space="preserve"> </v>
      </c>
      <c r="I22" s="23" t="str">
        <f>UPPER(Palnilla!K30)</f>
        <v/>
      </c>
      <c r="J22" s="23" t="str">
        <f>UPPER(Palnilla!L30)</f>
        <v/>
      </c>
      <c r="K22" s="23" t="str">
        <f>IF(Palnilla!I30&gt;0,Palnilla!M30, " ")</f>
        <v xml:space="preserve"> </v>
      </c>
      <c r="L22" s="23" t="str">
        <f>IF(Palnilla!I30&gt;0, UPPER(Palnilla!$D$5)," ")</f>
        <v xml:space="preserve"> </v>
      </c>
      <c r="M22" s="23" t="str">
        <f>IF(Palnilla!I30&gt;0, UPPER(Palnilla!N30), " ")</f>
        <v xml:space="preserve"> </v>
      </c>
      <c r="N22" s="23" t="str">
        <f>IF(Palnilla!I30&gt;0, UPPER(Palnilla!O30), " ")</f>
        <v xml:space="preserve"> </v>
      </c>
      <c r="O22" s="23" t="str">
        <f>IF(Palnilla!I30&gt;0, UPPER(Palnilla!P30), " ")</f>
        <v xml:space="preserve"> </v>
      </c>
      <c r="P22" s="23" t="str">
        <f>IF(Palnilla!I30&gt;0, UPPER(Palnilla!Q30), " ")</f>
        <v xml:space="preserve"> </v>
      </c>
      <c r="Q22" s="37" t="str">
        <f>IF(Palnilla!I30&gt;0, UPPER(Palnilla!R30), " ")</f>
        <v xml:space="preserve"> </v>
      </c>
    </row>
    <row r="23" spans="2:17" x14ac:dyDescent="0.25">
      <c r="B23" s="30" t="str">
        <f>IF(Palnilla!I31&gt;0,Palnilla!C31," ")</f>
        <v xml:space="preserve"> </v>
      </c>
      <c r="C23" s="24" t="str">
        <f>UPPER(Palnilla!D31)</f>
        <v/>
      </c>
      <c r="D23" s="24" t="str">
        <f>UPPER(Palnilla!E31)</f>
        <v/>
      </c>
      <c r="E23" s="24" t="str">
        <f>UPPER(Palnilla!F31)</f>
        <v/>
      </c>
      <c r="F23" s="31" t="str">
        <f>IF(Palnilla!I31&gt;0, DATE(Palnilla!I31,Palnilla!H31,Palnilla!G31)," ")</f>
        <v xml:space="preserve"> </v>
      </c>
      <c r="G23" s="32" t="str">
        <f>IF(Palnilla!I31&gt;0, DATEDIF(F23,Control!$I$2,"y"), " ")</f>
        <v xml:space="preserve"> </v>
      </c>
      <c r="H23" s="24" t="str" cm="1">
        <f t="array" ref="H23">IF(Palnilla!I31&gt;0,_xlfn.IFS(G23=6,"MINI 7 AÑOS",G23=7,"MINI 7 AÑOS",G23=8,"MINI 8 AÑOS",G23=9,"MINI 9 AÑOS",G23=10,"MINI 10 AÑOS",G23=11,"PREINFANTIL 11 AÑOS",G23=12,"INFANTIL 12 AÑOS",G23=13,"JUNIOR 13 AÑOS",G23=14,"PREJUVENIL",G23=15,"JUVENIL 1ER AÑO",G23=16,"JUVENIL 2DO AÑO",G23=17,"JUVENIL 3ER AÑO",G23&gt;17,"MAYORES")," ")</f>
        <v xml:space="preserve"> </v>
      </c>
      <c r="I23" s="24" t="str">
        <f>UPPER(Palnilla!K31)</f>
        <v/>
      </c>
      <c r="J23" s="24" t="str">
        <f>UPPER(Palnilla!L31)</f>
        <v/>
      </c>
      <c r="K23" s="24" t="str">
        <f>IF(Palnilla!I31&gt;0,Palnilla!M31, " ")</f>
        <v xml:space="preserve"> </v>
      </c>
      <c r="L23" s="24" t="str">
        <f>IF(Palnilla!I31&gt;0, UPPER(Palnilla!$D$5)," ")</f>
        <v xml:space="preserve"> </v>
      </c>
      <c r="M23" s="24" t="str">
        <f>IF(Palnilla!I31&gt;0, UPPER(Palnilla!N31), " ")</f>
        <v xml:space="preserve"> </v>
      </c>
      <c r="N23" s="24" t="str">
        <f>IF(Palnilla!I31&gt;0, UPPER(Palnilla!O31), " ")</f>
        <v xml:space="preserve"> </v>
      </c>
      <c r="O23" s="24" t="str">
        <f>IF(Palnilla!I31&gt;0, UPPER(Palnilla!P31), " ")</f>
        <v xml:space="preserve"> </v>
      </c>
      <c r="P23" s="24" t="str">
        <f>IF(Palnilla!I31&gt;0, UPPER(Palnilla!Q31), " ")</f>
        <v xml:space="preserve"> </v>
      </c>
      <c r="Q23" s="33" t="str">
        <f>IF(Palnilla!I31&gt;0, UPPER(Palnilla!R31), " ")</f>
        <v xml:space="preserve"> </v>
      </c>
    </row>
    <row r="24" spans="2:17" x14ac:dyDescent="0.25">
      <c r="B24" s="34" t="str">
        <f>IF(Palnilla!I32&gt;0,Palnilla!C32," ")</f>
        <v xml:space="preserve"> </v>
      </c>
      <c r="C24" s="23" t="str">
        <f>UPPER(Palnilla!D32)</f>
        <v/>
      </c>
      <c r="D24" s="23" t="str">
        <f>UPPER(Palnilla!E32)</f>
        <v/>
      </c>
      <c r="E24" s="23" t="str">
        <f>UPPER(Palnilla!F32)</f>
        <v/>
      </c>
      <c r="F24" s="35" t="str">
        <f>IF(Palnilla!I32&gt;0, DATE(Palnilla!I32,Palnilla!H32,Palnilla!G32)," ")</f>
        <v xml:space="preserve"> </v>
      </c>
      <c r="G24" s="36" t="str">
        <f>IF(Palnilla!I32&gt;0, DATEDIF(F24,Control!$I$2,"y"), " ")</f>
        <v xml:space="preserve"> </v>
      </c>
      <c r="H24" s="23" t="str" cm="1">
        <f t="array" ref="H24">IF(Palnilla!I32&gt;0,_xlfn.IFS(G24=6,"MINI 7 AÑOS",G24=7,"MINI 7 AÑOS",G24=8,"MINI 8 AÑOS",G24=9,"MINI 9 AÑOS",G24=10,"MINI 10 AÑOS",G24=11,"PREINFANTIL 11 AÑOS",G24=12,"INFANTIL 12 AÑOS",G24=13,"JUNIOR 13 AÑOS",G24=14,"PREJUVENIL",G24=15,"JUVENIL 1ER AÑO",G24=16,"JUVENIL 2DO AÑO",G24=17,"JUVENIL 3ER AÑO",G24&gt;17,"MAYORES")," ")</f>
        <v xml:space="preserve"> </v>
      </c>
      <c r="I24" s="23" t="str">
        <f>UPPER(Palnilla!K32)</f>
        <v/>
      </c>
      <c r="J24" s="23" t="str">
        <f>UPPER(Palnilla!L32)</f>
        <v/>
      </c>
      <c r="K24" s="23" t="str">
        <f>IF(Palnilla!I32&gt;0,Palnilla!M32, " ")</f>
        <v xml:space="preserve"> </v>
      </c>
      <c r="L24" s="23" t="str">
        <f>IF(Palnilla!I32&gt;0, UPPER(Palnilla!$D$5)," ")</f>
        <v xml:space="preserve"> </v>
      </c>
      <c r="M24" s="23" t="str">
        <f>IF(Palnilla!I32&gt;0, UPPER(Palnilla!N32), " ")</f>
        <v xml:space="preserve"> </v>
      </c>
      <c r="N24" s="23" t="str">
        <f>IF(Palnilla!I32&gt;0, UPPER(Palnilla!O32), " ")</f>
        <v xml:space="preserve"> </v>
      </c>
      <c r="O24" s="23" t="str">
        <f>IF(Palnilla!I32&gt;0, UPPER(Palnilla!P32), " ")</f>
        <v xml:space="preserve"> </v>
      </c>
      <c r="P24" s="23" t="str">
        <f>IF(Palnilla!I32&gt;0, UPPER(Palnilla!Q32), " ")</f>
        <v xml:space="preserve"> </v>
      </c>
      <c r="Q24" s="37" t="str">
        <f>IF(Palnilla!I32&gt;0, UPPER(Palnilla!R32), " ")</f>
        <v xml:space="preserve"> </v>
      </c>
    </row>
    <row r="25" spans="2:17" x14ac:dyDescent="0.25">
      <c r="B25" s="30" t="str">
        <f>IF(Palnilla!I33&gt;0,Palnilla!C33," ")</f>
        <v xml:space="preserve"> </v>
      </c>
      <c r="C25" s="24" t="str">
        <f>UPPER(Palnilla!D33)</f>
        <v/>
      </c>
      <c r="D25" s="24" t="str">
        <f>UPPER(Palnilla!E33)</f>
        <v/>
      </c>
      <c r="E25" s="24" t="str">
        <f>UPPER(Palnilla!F33)</f>
        <v/>
      </c>
      <c r="F25" s="31" t="str">
        <f>IF(Palnilla!I33&gt;0, DATE(Palnilla!I33,Palnilla!H33,Palnilla!G33)," ")</f>
        <v xml:space="preserve"> </v>
      </c>
      <c r="G25" s="32" t="str">
        <f>IF(Palnilla!I33&gt;0, DATEDIF(F25,Control!$I$2,"y"), " ")</f>
        <v xml:space="preserve"> </v>
      </c>
      <c r="H25" s="24" t="str" cm="1">
        <f t="array" ref="H25">IF(Palnilla!I33&gt;0,_xlfn.IFS(G25=6,"MINI 7 AÑOS",G25=7,"MINI 7 AÑOS",G25=8,"MINI 8 AÑOS",G25=9,"MINI 9 AÑOS",G25=10,"MINI 10 AÑOS",G25=11,"PREINFANTIL 11 AÑOS",G25=12,"INFANTIL 12 AÑOS",G25=13,"JUNIOR 13 AÑOS",G25=14,"PREJUVENIL",G25=15,"JUVENIL 1ER AÑO",G25=16,"JUVENIL 2DO AÑO",G25=17,"JUVENIL 3ER AÑO",G25&gt;17,"MAYORES")," ")</f>
        <v xml:space="preserve"> </v>
      </c>
      <c r="I25" s="24" t="str">
        <f>UPPER(Palnilla!K33)</f>
        <v/>
      </c>
      <c r="J25" s="24" t="str">
        <f>UPPER(Palnilla!L33)</f>
        <v/>
      </c>
      <c r="K25" s="24" t="str">
        <f>IF(Palnilla!I33&gt;0,Palnilla!M33, " ")</f>
        <v xml:space="preserve"> </v>
      </c>
      <c r="L25" s="24" t="str">
        <f>IF(Palnilla!I33&gt;0, UPPER(Palnilla!$D$5)," ")</f>
        <v xml:space="preserve"> </v>
      </c>
      <c r="M25" s="24" t="str">
        <f>IF(Palnilla!I33&gt;0, UPPER(Palnilla!N33), " ")</f>
        <v xml:space="preserve"> </v>
      </c>
      <c r="N25" s="24" t="str">
        <f>IF(Palnilla!I33&gt;0, UPPER(Palnilla!O33), " ")</f>
        <v xml:space="preserve"> </v>
      </c>
      <c r="O25" s="24" t="str">
        <f>IF(Palnilla!I33&gt;0, UPPER(Palnilla!P33), " ")</f>
        <v xml:space="preserve"> </v>
      </c>
      <c r="P25" s="24" t="str">
        <f>IF(Palnilla!I33&gt;0, UPPER(Palnilla!Q33), " ")</f>
        <v xml:space="preserve"> </v>
      </c>
      <c r="Q25" s="33" t="str">
        <f>IF(Palnilla!I33&gt;0, UPPER(Palnilla!R33), " ")</f>
        <v xml:space="preserve"> </v>
      </c>
    </row>
    <row r="26" spans="2:17" x14ac:dyDescent="0.25">
      <c r="B26" s="34" t="str">
        <f>IF(Palnilla!I34&gt;0,Palnilla!C34," ")</f>
        <v xml:space="preserve"> </v>
      </c>
      <c r="C26" s="23" t="str">
        <f>UPPER(Palnilla!D34)</f>
        <v/>
      </c>
      <c r="D26" s="23" t="str">
        <f>UPPER(Palnilla!E34)</f>
        <v/>
      </c>
      <c r="E26" s="23" t="str">
        <f>UPPER(Palnilla!F34)</f>
        <v/>
      </c>
      <c r="F26" s="35" t="str">
        <f>IF(Palnilla!I34&gt;0, DATE(Palnilla!I34,Palnilla!H34,Palnilla!G34)," ")</f>
        <v xml:space="preserve"> </v>
      </c>
      <c r="G26" s="36" t="str">
        <f>IF(Palnilla!I34&gt;0, DATEDIF(F26,Control!$I$2,"y"), " ")</f>
        <v xml:space="preserve"> </v>
      </c>
      <c r="H26" s="23" t="str" cm="1">
        <f t="array" ref="H26">IF(Palnilla!I34&gt;0,_xlfn.IFS(G26=6,"MINI 7 AÑOS",G26=7,"MINI 7 AÑOS",G26=8,"MINI 8 AÑOS",G26=9,"MINI 9 AÑOS",G26=10,"MINI 10 AÑOS",G26=11,"PREINFANTIL 11 AÑOS",G26=12,"INFANTIL 12 AÑOS",G26=13,"JUNIOR 13 AÑOS",G26=14,"PREJUVENIL",G26=15,"JUVENIL 1ER AÑO",G26=16,"JUVENIL 2DO AÑO",G26=17,"JUVENIL 3ER AÑO",G26&gt;17,"MAYORES")," ")</f>
        <v xml:space="preserve"> </v>
      </c>
      <c r="I26" s="23" t="str">
        <f>UPPER(Palnilla!K34)</f>
        <v/>
      </c>
      <c r="J26" s="23" t="str">
        <f>UPPER(Palnilla!L34)</f>
        <v/>
      </c>
      <c r="K26" s="23" t="str">
        <f>IF(Palnilla!I34&gt;0,Palnilla!M34, " ")</f>
        <v xml:space="preserve"> </v>
      </c>
      <c r="L26" s="23" t="str">
        <f>IF(Palnilla!I34&gt;0, UPPER(Palnilla!$D$5)," ")</f>
        <v xml:space="preserve"> </v>
      </c>
      <c r="M26" s="23" t="str">
        <f>IF(Palnilla!I34&gt;0, UPPER(Palnilla!N34), " ")</f>
        <v xml:space="preserve"> </v>
      </c>
      <c r="N26" s="23" t="str">
        <f>IF(Palnilla!I34&gt;0, UPPER(Palnilla!O34), " ")</f>
        <v xml:space="preserve"> </v>
      </c>
      <c r="O26" s="23" t="str">
        <f>IF(Palnilla!I34&gt;0, UPPER(Palnilla!P34), " ")</f>
        <v xml:space="preserve"> </v>
      </c>
      <c r="P26" s="23" t="str">
        <f>IF(Palnilla!I34&gt;0, UPPER(Palnilla!Q34), " ")</f>
        <v xml:space="preserve"> </v>
      </c>
      <c r="Q26" s="37" t="str">
        <f>IF(Palnilla!I34&gt;0, UPPER(Palnilla!R34), " ")</f>
        <v xml:space="preserve"> </v>
      </c>
    </row>
    <row r="27" spans="2:17" x14ac:dyDescent="0.25">
      <c r="B27" s="30" t="str">
        <f>IF(Palnilla!I35&gt;0,Palnilla!C35," ")</f>
        <v xml:space="preserve"> </v>
      </c>
      <c r="C27" s="24" t="str">
        <f>UPPER(Palnilla!D35)</f>
        <v/>
      </c>
      <c r="D27" s="24" t="str">
        <f>UPPER(Palnilla!E35)</f>
        <v/>
      </c>
      <c r="E27" s="24" t="str">
        <f>UPPER(Palnilla!F35)</f>
        <v/>
      </c>
      <c r="F27" s="31" t="str">
        <f>IF(Palnilla!I35&gt;0, DATE(Palnilla!I35,Palnilla!H35,Palnilla!G35)," ")</f>
        <v xml:space="preserve"> </v>
      </c>
      <c r="G27" s="32" t="str">
        <f>IF(Palnilla!I35&gt;0, DATEDIF(F27,Control!$I$2,"y"), " ")</f>
        <v xml:space="preserve"> </v>
      </c>
      <c r="H27" s="24" t="str" cm="1">
        <f t="array" ref="H27">IF(Palnilla!I35&gt;0,_xlfn.IFS(G27=6,"MINI 7 AÑOS",G27=7,"MINI 7 AÑOS",G27=8,"MINI 8 AÑOS",G27=9,"MINI 9 AÑOS",G27=10,"MINI 10 AÑOS",G27=11,"PREINFANTIL 11 AÑOS",G27=12,"INFANTIL 12 AÑOS",G27=13,"JUNIOR 13 AÑOS",G27=14,"PREJUVENIL",G27=15,"JUVENIL 1ER AÑO",G27=16,"JUVENIL 2DO AÑO",G27=17,"JUVENIL 3ER AÑO",G27&gt;17,"MAYORES")," ")</f>
        <v xml:space="preserve"> </v>
      </c>
      <c r="I27" s="24" t="str">
        <f>UPPER(Palnilla!K35)</f>
        <v/>
      </c>
      <c r="J27" s="24" t="str">
        <f>UPPER(Palnilla!L35)</f>
        <v/>
      </c>
      <c r="K27" s="24" t="str">
        <f>IF(Palnilla!I35&gt;0,Palnilla!M35, " ")</f>
        <v xml:space="preserve"> </v>
      </c>
      <c r="L27" s="24" t="str">
        <f>IF(Palnilla!I35&gt;0, UPPER(Palnilla!$D$5)," ")</f>
        <v xml:space="preserve"> </v>
      </c>
      <c r="M27" s="24" t="str">
        <f>IF(Palnilla!I35&gt;0, UPPER(Palnilla!N35), " ")</f>
        <v xml:space="preserve"> </v>
      </c>
      <c r="N27" s="24" t="str">
        <f>IF(Palnilla!I35&gt;0, UPPER(Palnilla!O35), " ")</f>
        <v xml:space="preserve"> </v>
      </c>
      <c r="O27" s="24" t="str">
        <f>IF(Palnilla!I35&gt;0, UPPER(Palnilla!P35), " ")</f>
        <v xml:space="preserve"> </v>
      </c>
      <c r="P27" s="24" t="str">
        <f>IF(Palnilla!I35&gt;0, UPPER(Palnilla!Q35), " ")</f>
        <v xml:space="preserve"> </v>
      </c>
      <c r="Q27" s="33" t="str">
        <f>IF(Palnilla!I35&gt;0, UPPER(Palnilla!R35), " ")</f>
        <v xml:space="preserve"> </v>
      </c>
    </row>
    <row r="28" spans="2:17" x14ac:dyDescent="0.25">
      <c r="B28" s="34" t="str">
        <f>IF(Palnilla!I36&gt;0,Palnilla!C36," ")</f>
        <v xml:space="preserve"> </v>
      </c>
      <c r="C28" s="23" t="str">
        <f>UPPER(Palnilla!D36)</f>
        <v/>
      </c>
      <c r="D28" s="23" t="str">
        <f>UPPER(Palnilla!E36)</f>
        <v/>
      </c>
      <c r="E28" s="23" t="str">
        <f>UPPER(Palnilla!F36)</f>
        <v/>
      </c>
      <c r="F28" s="35" t="str">
        <f>IF(Palnilla!I36&gt;0, DATE(Palnilla!I36,Palnilla!H36,Palnilla!G36)," ")</f>
        <v xml:space="preserve"> </v>
      </c>
      <c r="G28" s="36" t="str">
        <f>IF(Palnilla!I36&gt;0, DATEDIF(F28,Control!$I$2,"y"), " ")</f>
        <v xml:space="preserve"> </v>
      </c>
      <c r="H28" s="23" t="str" cm="1">
        <f t="array" ref="H28">IF(Palnilla!I36&gt;0,_xlfn.IFS(G28=6,"MINI 7 AÑOS",G28=7,"MINI 7 AÑOS",G28=8,"MINI 8 AÑOS",G28=9,"MINI 9 AÑOS",G28=10,"MINI 10 AÑOS",G28=11,"PREINFANTIL 11 AÑOS",G28=12,"INFANTIL 12 AÑOS",G28=13,"JUNIOR 13 AÑOS",G28=14,"PREJUVENIL",G28=15,"JUVENIL 1ER AÑO",G28=16,"JUVENIL 2DO AÑO",G28=17,"JUVENIL 3ER AÑO",G28&gt;17,"MAYORES")," ")</f>
        <v xml:space="preserve"> </v>
      </c>
      <c r="I28" s="23" t="str">
        <f>UPPER(Palnilla!K36)</f>
        <v/>
      </c>
      <c r="J28" s="23" t="str">
        <f>UPPER(Palnilla!L36)</f>
        <v/>
      </c>
      <c r="K28" s="23" t="str">
        <f>IF(Palnilla!I36&gt;0,Palnilla!M36, " ")</f>
        <v xml:space="preserve"> </v>
      </c>
      <c r="L28" s="23" t="str">
        <f>IF(Palnilla!I36&gt;0, UPPER(Palnilla!$D$5)," ")</f>
        <v xml:space="preserve"> </v>
      </c>
      <c r="M28" s="23" t="str">
        <f>IF(Palnilla!I36&gt;0, UPPER(Palnilla!N36), " ")</f>
        <v xml:space="preserve"> </v>
      </c>
      <c r="N28" s="23" t="str">
        <f>IF(Palnilla!I36&gt;0, UPPER(Palnilla!O36), " ")</f>
        <v xml:space="preserve"> </v>
      </c>
      <c r="O28" s="23" t="str">
        <f>IF(Palnilla!I36&gt;0, UPPER(Palnilla!P36), " ")</f>
        <v xml:space="preserve"> </v>
      </c>
      <c r="P28" s="23" t="str">
        <f>IF(Palnilla!I36&gt;0, UPPER(Palnilla!Q36), " ")</f>
        <v xml:space="preserve"> </v>
      </c>
      <c r="Q28" s="37" t="str">
        <f>IF(Palnilla!I36&gt;0, UPPER(Palnilla!R36), " ")</f>
        <v xml:space="preserve"> </v>
      </c>
    </row>
    <row r="29" spans="2:17" x14ac:dyDescent="0.25">
      <c r="B29" s="30" t="str">
        <f>IF(Palnilla!I37&gt;0,Palnilla!C37," ")</f>
        <v xml:space="preserve"> </v>
      </c>
      <c r="C29" s="24" t="str">
        <f>UPPER(Palnilla!D37)</f>
        <v/>
      </c>
      <c r="D29" s="24" t="str">
        <f>UPPER(Palnilla!E37)</f>
        <v/>
      </c>
      <c r="E29" s="24" t="str">
        <f>UPPER(Palnilla!F37)</f>
        <v/>
      </c>
      <c r="F29" s="31" t="str">
        <f>IF(Palnilla!I37&gt;0, DATE(Palnilla!I37,Palnilla!H37,Palnilla!G37)," ")</f>
        <v xml:space="preserve"> </v>
      </c>
      <c r="G29" s="32" t="str">
        <f>IF(Palnilla!I37&gt;0, DATEDIF(F29,Control!$I$2,"y"), " ")</f>
        <v xml:space="preserve"> </v>
      </c>
      <c r="H29" s="24" t="str" cm="1">
        <f t="array" ref="H29">IF(Palnilla!I37&gt;0,_xlfn.IFS(G29=6,"MINI 7 AÑOS",G29=7,"MINI 7 AÑOS",G29=8,"MINI 8 AÑOS",G29=9,"MINI 9 AÑOS",G29=10,"MINI 10 AÑOS",G29=11,"PREINFANTIL 11 AÑOS",G29=12,"INFANTIL 12 AÑOS",G29=13,"JUNIOR 13 AÑOS",G29=14,"PREJUVENIL",G29=15,"JUVENIL 1ER AÑO",G29=16,"JUVENIL 2DO AÑO",G29=17,"JUVENIL 3ER AÑO",G29&gt;17,"MAYORES")," ")</f>
        <v xml:space="preserve"> </v>
      </c>
      <c r="I29" s="24" t="str">
        <f>UPPER(Palnilla!K37)</f>
        <v/>
      </c>
      <c r="J29" s="24" t="str">
        <f>UPPER(Palnilla!L37)</f>
        <v/>
      </c>
      <c r="K29" s="24" t="str">
        <f>IF(Palnilla!I37&gt;0,Palnilla!M37, " ")</f>
        <v xml:space="preserve"> </v>
      </c>
      <c r="L29" s="24" t="str">
        <f>IF(Palnilla!I37&gt;0, UPPER(Palnilla!$D$5)," ")</f>
        <v xml:space="preserve"> </v>
      </c>
      <c r="M29" s="24" t="str">
        <f>IF(Palnilla!I37&gt;0, UPPER(Palnilla!N37), " ")</f>
        <v xml:space="preserve"> </v>
      </c>
      <c r="N29" s="24" t="str">
        <f>IF(Palnilla!I37&gt;0, UPPER(Palnilla!O37), " ")</f>
        <v xml:space="preserve"> </v>
      </c>
      <c r="O29" s="24" t="str">
        <f>IF(Palnilla!I37&gt;0, UPPER(Palnilla!P37), " ")</f>
        <v xml:space="preserve"> </v>
      </c>
      <c r="P29" s="24" t="str">
        <f>IF(Palnilla!I37&gt;0, UPPER(Palnilla!Q37), " ")</f>
        <v xml:space="preserve"> </v>
      </c>
      <c r="Q29" s="33" t="str">
        <f>IF(Palnilla!I37&gt;0, UPPER(Palnilla!R37), " ")</f>
        <v xml:space="preserve"> </v>
      </c>
    </row>
    <row r="30" spans="2:17" x14ac:dyDescent="0.25">
      <c r="B30" s="34" t="str">
        <f>IF(Palnilla!I38&gt;0,Palnilla!C38," ")</f>
        <v xml:space="preserve"> </v>
      </c>
      <c r="C30" s="23" t="str">
        <f>UPPER(Palnilla!D38)</f>
        <v/>
      </c>
      <c r="D30" s="23" t="str">
        <f>UPPER(Palnilla!E38)</f>
        <v/>
      </c>
      <c r="E30" s="23" t="str">
        <f>UPPER(Palnilla!F38)</f>
        <v/>
      </c>
      <c r="F30" s="35" t="str">
        <f>IF(Palnilla!I38&gt;0, DATE(Palnilla!I38,Palnilla!H38,Palnilla!G38)," ")</f>
        <v xml:space="preserve"> </v>
      </c>
      <c r="G30" s="36" t="str">
        <f>IF(Palnilla!I38&gt;0, DATEDIF(F30,Control!$I$2,"y"), " ")</f>
        <v xml:space="preserve"> </v>
      </c>
      <c r="H30" s="23" t="str" cm="1">
        <f t="array" ref="H30">IF(Palnilla!I38&gt;0,_xlfn.IFS(G30=6,"MINI 7 AÑOS",G30=7,"MINI 7 AÑOS",G30=8,"MINI 8 AÑOS",G30=9,"MINI 9 AÑOS",G30=10,"MINI 10 AÑOS",G30=11,"PREINFANTIL 11 AÑOS",G30=12,"INFANTIL 12 AÑOS",G30=13,"JUNIOR 13 AÑOS",G30=14,"PREJUVENIL",G30=15,"JUVENIL 1ER AÑO",G30=16,"JUVENIL 2DO AÑO",G30=17,"JUVENIL 3ER AÑO",G30&gt;17,"MAYORES")," ")</f>
        <v xml:space="preserve"> </v>
      </c>
      <c r="I30" s="23" t="str">
        <f>UPPER(Palnilla!K38)</f>
        <v/>
      </c>
      <c r="J30" s="23" t="str">
        <f>UPPER(Palnilla!L38)</f>
        <v/>
      </c>
      <c r="K30" s="23" t="str">
        <f>IF(Palnilla!I38&gt;0,Palnilla!M38, " ")</f>
        <v xml:space="preserve"> </v>
      </c>
      <c r="L30" s="23" t="str">
        <f>IF(Palnilla!I38&gt;0, UPPER(Palnilla!$D$5)," ")</f>
        <v xml:space="preserve"> </v>
      </c>
      <c r="M30" s="23" t="str">
        <f>IF(Palnilla!I38&gt;0, UPPER(Palnilla!N38), " ")</f>
        <v xml:space="preserve"> </v>
      </c>
      <c r="N30" s="23" t="str">
        <f>IF(Palnilla!I38&gt;0, UPPER(Palnilla!O38), " ")</f>
        <v xml:space="preserve"> </v>
      </c>
      <c r="O30" s="23" t="str">
        <f>IF(Palnilla!I38&gt;0, UPPER(Palnilla!P38), " ")</f>
        <v xml:space="preserve"> </v>
      </c>
      <c r="P30" s="23" t="str">
        <f>IF(Palnilla!I38&gt;0, UPPER(Palnilla!Q38), " ")</f>
        <v xml:space="preserve"> </v>
      </c>
      <c r="Q30" s="37" t="str">
        <f>IF(Palnilla!I38&gt;0, UPPER(Palnilla!R38), " ")</f>
        <v xml:space="preserve"> </v>
      </c>
    </row>
    <row r="31" spans="2:17" x14ac:dyDescent="0.25">
      <c r="B31" s="30" t="str">
        <f>IF(Palnilla!I39&gt;0,Palnilla!C39," ")</f>
        <v xml:space="preserve"> </v>
      </c>
      <c r="C31" s="24" t="str">
        <f>UPPER(Palnilla!D39)</f>
        <v/>
      </c>
      <c r="D31" s="24" t="str">
        <f>UPPER(Palnilla!E39)</f>
        <v/>
      </c>
      <c r="E31" s="24" t="str">
        <f>UPPER(Palnilla!F39)</f>
        <v/>
      </c>
      <c r="F31" s="31" t="str">
        <f>IF(Palnilla!I39&gt;0, DATE(Palnilla!I39,Palnilla!H39,Palnilla!G39)," ")</f>
        <v xml:space="preserve"> </v>
      </c>
      <c r="G31" s="32" t="str">
        <f>IF(Palnilla!I39&gt;0, DATEDIF(F31,Control!$I$2,"y"), " ")</f>
        <v xml:space="preserve"> </v>
      </c>
      <c r="H31" s="24" t="str" cm="1">
        <f t="array" ref="H31">IF(Palnilla!I39&gt;0,_xlfn.IFS(G31=6,"MINI 7 AÑOS",G31=7,"MINI 7 AÑOS",G31=8,"MINI 8 AÑOS",G31=9,"MINI 9 AÑOS",G31=10,"MINI 10 AÑOS",G31=11,"PREINFANTIL 11 AÑOS",G31=12,"INFANTIL 12 AÑOS",G31=13,"JUNIOR 13 AÑOS",G31=14,"PREJUVENIL",G31=15,"JUVENIL 1ER AÑO",G31=16,"JUVENIL 2DO AÑO",G31=17,"JUVENIL 3ER AÑO",G31&gt;17,"MAYORES")," ")</f>
        <v xml:space="preserve"> </v>
      </c>
      <c r="I31" s="24" t="str">
        <f>UPPER(Palnilla!K39)</f>
        <v/>
      </c>
      <c r="J31" s="24" t="str">
        <f>UPPER(Palnilla!L39)</f>
        <v/>
      </c>
      <c r="K31" s="24" t="str">
        <f>IF(Palnilla!I39&gt;0,Palnilla!M39, " ")</f>
        <v xml:space="preserve"> </v>
      </c>
      <c r="L31" s="24" t="str">
        <f>IF(Palnilla!I39&gt;0, UPPER(Palnilla!$D$5)," ")</f>
        <v xml:space="preserve"> </v>
      </c>
      <c r="M31" s="24" t="str">
        <f>IF(Palnilla!I39&gt;0, UPPER(Palnilla!N39), " ")</f>
        <v xml:space="preserve"> </v>
      </c>
      <c r="N31" s="24" t="str">
        <f>IF(Palnilla!I39&gt;0, UPPER(Palnilla!O39), " ")</f>
        <v xml:space="preserve"> </v>
      </c>
      <c r="O31" s="24" t="str">
        <f>IF(Palnilla!I39&gt;0, UPPER(Palnilla!P39), " ")</f>
        <v xml:space="preserve"> </v>
      </c>
      <c r="P31" s="24" t="str">
        <f>IF(Palnilla!I39&gt;0, UPPER(Palnilla!Q39), " ")</f>
        <v xml:space="preserve"> </v>
      </c>
      <c r="Q31" s="33" t="str">
        <f>IF(Palnilla!I39&gt;0, UPPER(Palnilla!R39), " ")</f>
        <v xml:space="preserve"> </v>
      </c>
    </row>
    <row r="32" spans="2:17" x14ac:dyDescent="0.25">
      <c r="B32" s="34" t="str">
        <f>IF(Palnilla!I40&gt;0,Palnilla!C40," ")</f>
        <v xml:space="preserve"> </v>
      </c>
      <c r="C32" s="23" t="str">
        <f>UPPER(Palnilla!D40)</f>
        <v/>
      </c>
      <c r="D32" s="23" t="str">
        <f>UPPER(Palnilla!E40)</f>
        <v/>
      </c>
      <c r="E32" s="23" t="str">
        <f>UPPER(Palnilla!F40)</f>
        <v/>
      </c>
      <c r="F32" s="35" t="str">
        <f>IF(Palnilla!I40&gt;0, DATE(Palnilla!I40,Palnilla!H40,Palnilla!G40)," ")</f>
        <v xml:space="preserve"> </v>
      </c>
      <c r="G32" s="36" t="str">
        <f>IF(Palnilla!I40&gt;0, DATEDIF(F32,Control!$I$2,"y"), " ")</f>
        <v xml:space="preserve"> </v>
      </c>
      <c r="H32" s="23" t="str" cm="1">
        <f t="array" ref="H32">IF(Palnilla!I40&gt;0,_xlfn.IFS(G32=6,"MINI 7 AÑOS",G32=7,"MINI 7 AÑOS",G32=8,"MINI 8 AÑOS",G32=9,"MINI 9 AÑOS",G32=10,"MINI 10 AÑOS",G32=11,"PREINFANTIL 11 AÑOS",G32=12,"INFANTIL 12 AÑOS",G32=13,"JUNIOR 13 AÑOS",G32=14,"PREJUVENIL",G32=15,"JUVENIL 1ER AÑO",G32=16,"JUVENIL 2DO AÑO",G32=17,"JUVENIL 3ER AÑO",G32&gt;17,"MAYORES")," ")</f>
        <v xml:space="preserve"> </v>
      </c>
      <c r="I32" s="23" t="str">
        <f>UPPER(Palnilla!K40)</f>
        <v/>
      </c>
      <c r="J32" s="23" t="str">
        <f>UPPER(Palnilla!L40)</f>
        <v/>
      </c>
      <c r="K32" s="23" t="str">
        <f>IF(Palnilla!I40&gt;0,Palnilla!M40, " ")</f>
        <v xml:space="preserve"> </v>
      </c>
      <c r="L32" s="23" t="str">
        <f>IF(Palnilla!I40&gt;0, UPPER(Palnilla!$D$5)," ")</f>
        <v xml:space="preserve"> </v>
      </c>
      <c r="M32" s="23" t="str">
        <f>IF(Palnilla!I40&gt;0, UPPER(Palnilla!N40), " ")</f>
        <v xml:space="preserve"> </v>
      </c>
      <c r="N32" s="23" t="str">
        <f>IF(Palnilla!I40&gt;0, UPPER(Palnilla!O40), " ")</f>
        <v xml:space="preserve"> </v>
      </c>
      <c r="O32" s="23" t="str">
        <f>IF(Palnilla!I40&gt;0, UPPER(Palnilla!P40), " ")</f>
        <v xml:space="preserve"> </v>
      </c>
      <c r="P32" s="23" t="str">
        <f>IF(Palnilla!I40&gt;0, UPPER(Palnilla!Q40), " ")</f>
        <v xml:space="preserve"> </v>
      </c>
      <c r="Q32" s="37" t="str">
        <f>IF(Palnilla!I40&gt;0, UPPER(Palnilla!R40), " ")</f>
        <v xml:space="preserve"> </v>
      </c>
    </row>
    <row r="33" spans="2:17" x14ac:dyDescent="0.25">
      <c r="B33" s="30" t="str">
        <f>IF(Palnilla!I41&gt;0,Palnilla!C41," ")</f>
        <v xml:space="preserve"> </v>
      </c>
      <c r="C33" s="24" t="str">
        <f>UPPER(Palnilla!D41)</f>
        <v/>
      </c>
      <c r="D33" s="24" t="str">
        <f>UPPER(Palnilla!E41)</f>
        <v/>
      </c>
      <c r="E33" s="24" t="str">
        <f>UPPER(Palnilla!F41)</f>
        <v/>
      </c>
      <c r="F33" s="31" t="str">
        <f>IF(Palnilla!I41&gt;0, DATE(Palnilla!I41,Palnilla!H41,Palnilla!G41)," ")</f>
        <v xml:space="preserve"> </v>
      </c>
      <c r="G33" s="32" t="str">
        <f>IF(Palnilla!I41&gt;0, DATEDIF(F33,Control!$I$2,"y"), " ")</f>
        <v xml:space="preserve"> </v>
      </c>
      <c r="H33" s="24" t="str" cm="1">
        <f t="array" ref="H33">IF(Palnilla!I41&gt;0,_xlfn.IFS(G33=6,"MINI 7 AÑOS",G33=7,"MINI 7 AÑOS",G33=8,"MINI 8 AÑOS",G33=9,"MINI 9 AÑOS",G33=10,"MINI 10 AÑOS",G33=11,"PREINFANTIL 11 AÑOS",G33=12,"INFANTIL 12 AÑOS",G33=13,"JUNIOR 13 AÑOS",G33=14,"PREJUVENIL",G33=15,"JUVENIL 1ER AÑO",G33=16,"JUVENIL 2DO AÑO",G33=17,"JUVENIL 3ER AÑO",G33&gt;17,"MAYORES")," ")</f>
        <v xml:space="preserve"> </v>
      </c>
      <c r="I33" s="24" t="str">
        <f>UPPER(Palnilla!K41)</f>
        <v/>
      </c>
      <c r="J33" s="24" t="str">
        <f>UPPER(Palnilla!L41)</f>
        <v/>
      </c>
      <c r="K33" s="24" t="str">
        <f>IF(Palnilla!I41&gt;0,Palnilla!M41, " ")</f>
        <v xml:space="preserve"> </v>
      </c>
      <c r="L33" s="24" t="str">
        <f>IF(Palnilla!I41&gt;0, UPPER(Palnilla!$D$5)," ")</f>
        <v xml:space="preserve"> </v>
      </c>
      <c r="M33" s="24" t="str">
        <f>IF(Palnilla!I41&gt;0, UPPER(Palnilla!N41), " ")</f>
        <v xml:space="preserve"> </v>
      </c>
      <c r="N33" s="24" t="str">
        <f>IF(Palnilla!I41&gt;0, UPPER(Palnilla!O41), " ")</f>
        <v xml:space="preserve"> </v>
      </c>
      <c r="O33" s="24" t="str">
        <f>IF(Palnilla!I41&gt;0, UPPER(Palnilla!P41), " ")</f>
        <v xml:space="preserve"> </v>
      </c>
      <c r="P33" s="24" t="str">
        <f>IF(Palnilla!I41&gt;0, UPPER(Palnilla!Q41), " ")</f>
        <v xml:space="preserve"> </v>
      </c>
      <c r="Q33" s="33" t="str">
        <f>IF(Palnilla!I41&gt;0, UPPER(Palnilla!R41), " ")</f>
        <v xml:space="preserve"> </v>
      </c>
    </row>
    <row r="34" spans="2:17" x14ac:dyDescent="0.25">
      <c r="B34" s="34" t="str">
        <f>IF(Palnilla!I42&gt;0,Palnilla!C42," ")</f>
        <v xml:space="preserve"> </v>
      </c>
      <c r="C34" s="23" t="str">
        <f>UPPER(Palnilla!D42)</f>
        <v/>
      </c>
      <c r="D34" s="23" t="str">
        <f>UPPER(Palnilla!E42)</f>
        <v/>
      </c>
      <c r="E34" s="23" t="str">
        <f>UPPER(Palnilla!F42)</f>
        <v/>
      </c>
      <c r="F34" s="35" t="str">
        <f>IF(Palnilla!I42&gt;0, DATE(Palnilla!I42,Palnilla!H42,Palnilla!G42)," ")</f>
        <v xml:space="preserve"> </v>
      </c>
      <c r="G34" s="36" t="str">
        <f>IF(Palnilla!I42&gt;0, DATEDIF(F34,Control!$I$2,"y"), " ")</f>
        <v xml:space="preserve"> </v>
      </c>
      <c r="H34" s="23" t="str" cm="1">
        <f t="array" ref="H34">IF(Palnilla!I42&gt;0,_xlfn.IFS(G34=6,"MINI 7 AÑOS",G34=7,"MINI 7 AÑOS",G34=8,"MINI 8 AÑOS",G34=9,"MINI 9 AÑOS",G34=10,"MINI 10 AÑOS",G34=11,"PREINFANTIL 11 AÑOS",G34=12,"INFANTIL 12 AÑOS",G34=13,"JUNIOR 13 AÑOS",G34=14,"PREJUVENIL",G34=15,"JUVENIL 1ER AÑO",G34=16,"JUVENIL 2DO AÑO",G34=17,"JUVENIL 3ER AÑO",G34&gt;17,"MAYORES")," ")</f>
        <v xml:space="preserve"> </v>
      </c>
      <c r="I34" s="23" t="str">
        <f>UPPER(Palnilla!K42)</f>
        <v/>
      </c>
      <c r="J34" s="23" t="str">
        <f>UPPER(Palnilla!L42)</f>
        <v/>
      </c>
      <c r="K34" s="23" t="str">
        <f>IF(Palnilla!I42&gt;0,Palnilla!M42, " ")</f>
        <v xml:space="preserve"> </v>
      </c>
      <c r="L34" s="23" t="str">
        <f>IF(Palnilla!I42&gt;0, UPPER(Palnilla!$D$5)," ")</f>
        <v xml:space="preserve"> </v>
      </c>
      <c r="M34" s="23" t="str">
        <f>IF(Palnilla!I42&gt;0, UPPER(Palnilla!N42), " ")</f>
        <v xml:space="preserve"> </v>
      </c>
      <c r="N34" s="23" t="str">
        <f>IF(Palnilla!I42&gt;0, UPPER(Palnilla!O42), " ")</f>
        <v xml:space="preserve"> </v>
      </c>
      <c r="O34" s="23" t="str">
        <f>IF(Palnilla!I42&gt;0, UPPER(Palnilla!P42), " ")</f>
        <v xml:space="preserve"> </v>
      </c>
      <c r="P34" s="23" t="str">
        <f>IF(Palnilla!I42&gt;0, UPPER(Palnilla!Q42), " ")</f>
        <v xml:space="preserve"> </v>
      </c>
      <c r="Q34" s="37" t="str">
        <f>IF(Palnilla!I42&gt;0, UPPER(Palnilla!R42), " ")</f>
        <v xml:space="preserve"> </v>
      </c>
    </row>
    <row r="35" spans="2:17" x14ac:dyDescent="0.25">
      <c r="B35" s="30" t="str">
        <f>IF(Palnilla!I43&gt;0,Palnilla!C43," ")</f>
        <v xml:space="preserve"> </v>
      </c>
      <c r="C35" s="24" t="str">
        <f>UPPER(Palnilla!D43)</f>
        <v/>
      </c>
      <c r="D35" s="24" t="str">
        <f>UPPER(Palnilla!E43)</f>
        <v/>
      </c>
      <c r="E35" s="24" t="str">
        <f>UPPER(Palnilla!F43)</f>
        <v/>
      </c>
      <c r="F35" s="31" t="str">
        <f>IF(Palnilla!I43&gt;0, DATE(Palnilla!I43,Palnilla!H43,Palnilla!G43)," ")</f>
        <v xml:space="preserve"> </v>
      </c>
      <c r="G35" s="32" t="str">
        <f>IF(Palnilla!I43&gt;0, DATEDIF(F35,Control!$I$2,"y"), " ")</f>
        <v xml:space="preserve"> </v>
      </c>
      <c r="H35" s="24" t="str" cm="1">
        <f t="array" ref="H35">IF(Palnilla!I43&gt;0,_xlfn.IFS(G35=6,"MINI 7 AÑOS",G35=7,"MINI 7 AÑOS",G35=8,"MINI 8 AÑOS",G35=9,"MINI 9 AÑOS",G35=10,"MINI 10 AÑOS",G35=11,"PREINFANTIL 11 AÑOS",G35=12,"INFANTIL 12 AÑOS",G35=13,"JUNIOR 13 AÑOS",G35=14,"PREJUVENIL",G35=15,"JUVENIL 1ER AÑO",G35=16,"JUVENIL 2DO AÑO",G35=17,"JUVENIL 3ER AÑO",G35&gt;17,"MAYORES")," ")</f>
        <v xml:space="preserve"> </v>
      </c>
      <c r="I35" s="24" t="str">
        <f>UPPER(Palnilla!K43)</f>
        <v/>
      </c>
      <c r="J35" s="24" t="str">
        <f>UPPER(Palnilla!L43)</f>
        <v/>
      </c>
      <c r="K35" s="24" t="str">
        <f>IF(Palnilla!I43&gt;0,Palnilla!M43, " ")</f>
        <v xml:space="preserve"> </v>
      </c>
      <c r="L35" s="24" t="str">
        <f>IF(Palnilla!I43&gt;0, UPPER(Palnilla!$D$5)," ")</f>
        <v xml:space="preserve"> </v>
      </c>
      <c r="M35" s="24" t="str">
        <f>IF(Palnilla!I43&gt;0, UPPER(Palnilla!N43), " ")</f>
        <v xml:space="preserve"> </v>
      </c>
      <c r="N35" s="24" t="str">
        <f>IF(Palnilla!I43&gt;0, UPPER(Palnilla!O43), " ")</f>
        <v xml:space="preserve"> </v>
      </c>
      <c r="O35" s="24" t="str">
        <f>IF(Palnilla!I43&gt;0, UPPER(Palnilla!P43), " ")</f>
        <v xml:space="preserve"> </v>
      </c>
      <c r="P35" s="24" t="str">
        <f>IF(Palnilla!I43&gt;0, UPPER(Palnilla!Q43), " ")</f>
        <v xml:space="preserve"> </v>
      </c>
      <c r="Q35" s="33" t="str">
        <f>IF(Palnilla!I43&gt;0, UPPER(Palnilla!R43), " ")</f>
        <v xml:space="preserve"> </v>
      </c>
    </row>
    <row r="36" spans="2:17" x14ac:dyDescent="0.25">
      <c r="B36" s="34" t="str">
        <f>IF(Palnilla!I44&gt;0,Palnilla!C44," ")</f>
        <v xml:space="preserve"> </v>
      </c>
      <c r="C36" s="23" t="str">
        <f>UPPER(Palnilla!D44)</f>
        <v/>
      </c>
      <c r="D36" s="23" t="str">
        <f>UPPER(Palnilla!E44)</f>
        <v/>
      </c>
      <c r="E36" s="23" t="str">
        <f>UPPER(Palnilla!F44)</f>
        <v/>
      </c>
      <c r="F36" s="35" t="str">
        <f>IF(Palnilla!I44&gt;0, DATE(Palnilla!I44,Palnilla!H44,Palnilla!G44)," ")</f>
        <v xml:space="preserve"> </v>
      </c>
      <c r="G36" s="36" t="str">
        <f>IF(Palnilla!I44&gt;0, DATEDIF(F36,Control!$I$2,"y"), " ")</f>
        <v xml:space="preserve"> </v>
      </c>
      <c r="H36" s="23" t="str" cm="1">
        <f t="array" ref="H36">IF(Palnilla!I44&gt;0,_xlfn.IFS(G36=6,"MINI 7 AÑOS",G36=7,"MINI 7 AÑOS",G36=8,"MINI 8 AÑOS",G36=9,"MINI 9 AÑOS",G36=10,"MINI 10 AÑOS",G36=11,"PREINFANTIL 11 AÑOS",G36=12,"INFANTIL 12 AÑOS",G36=13,"JUNIOR 13 AÑOS",G36=14,"PREJUVENIL",G36=15,"JUVENIL 1ER AÑO",G36=16,"JUVENIL 2DO AÑO",G36=17,"JUVENIL 3ER AÑO",G36&gt;17,"MAYORES")," ")</f>
        <v xml:space="preserve"> </v>
      </c>
      <c r="I36" s="23" t="str">
        <f>UPPER(Palnilla!K44)</f>
        <v/>
      </c>
      <c r="J36" s="23" t="str">
        <f>UPPER(Palnilla!L44)</f>
        <v/>
      </c>
      <c r="K36" s="23" t="str">
        <f>IF(Palnilla!I44&gt;0,Palnilla!M44, " ")</f>
        <v xml:space="preserve"> </v>
      </c>
      <c r="L36" s="23" t="str">
        <f>IF(Palnilla!I44&gt;0, UPPER(Palnilla!$D$5)," ")</f>
        <v xml:space="preserve"> </v>
      </c>
      <c r="M36" s="23" t="str">
        <f>IF(Palnilla!I44&gt;0, UPPER(Palnilla!N44), " ")</f>
        <v xml:space="preserve"> </v>
      </c>
      <c r="N36" s="23" t="str">
        <f>IF(Palnilla!I44&gt;0, UPPER(Palnilla!O44), " ")</f>
        <v xml:space="preserve"> </v>
      </c>
      <c r="O36" s="23" t="str">
        <f>IF(Palnilla!I44&gt;0, UPPER(Palnilla!P44), " ")</f>
        <v xml:space="preserve"> </v>
      </c>
      <c r="P36" s="23" t="str">
        <f>IF(Palnilla!I44&gt;0, UPPER(Palnilla!Q44), " ")</f>
        <v xml:space="preserve"> </v>
      </c>
      <c r="Q36" s="37" t="str">
        <f>IF(Palnilla!I44&gt;0, UPPER(Palnilla!R44), " ")</f>
        <v xml:space="preserve"> </v>
      </c>
    </row>
    <row r="37" spans="2:17" x14ac:dyDescent="0.25">
      <c r="B37" s="30" t="str">
        <f>IF(Palnilla!I45&gt;0,Palnilla!C45," ")</f>
        <v xml:space="preserve"> </v>
      </c>
      <c r="C37" s="24" t="str">
        <f>UPPER(Palnilla!D45)</f>
        <v/>
      </c>
      <c r="D37" s="24" t="str">
        <f>UPPER(Palnilla!E45)</f>
        <v/>
      </c>
      <c r="E37" s="24" t="str">
        <f>UPPER(Palnilla!F45)</f>
        <v/>
      </c>
      <c r="F37" s="31" t="str">
        <f>IF(Palnilla!I45&gt;0, DATE(Palnilla!I45,Palnilla!H45,Palnilla!G45)," ")</f>
        <v xml:space="preserve"> </v>
      </c>
      <c r="G37" s="32" t="str">
        <f>IF(Palnilla!I45&gt;0, DATEDIF(F37,Control!$I$2,"y"), " ")</f>
        <v xml:space="preserve"> </v>
      </c>
      <c r="H37" s="24" t="str" cm="1">
        <f t="array" ref="H37">IF(Palnilla!I45&gt;0,_xlfn.IFS(G37=6,"MINI 7 AÑOS",G37=7,"MINI 7 AÑOS",G37=8,"MINI 8 AÑOS",G37=9,"MINI 9 AÑOS",G37=10,"MINI 10 AÑOS",G37=11,"PREINFANTIL 11 AÑOS",G37=12,"INFANTIL 12 AÑOS",G37=13,"JUNIOR 13 AÑOS",G37=14,"PREJUVENIL",G37=15,"JUVENIL 1ER AÑO",G37=16,"JUVENIL 2DO AÑO",G37=17,"JUVENIL 3ER AÑO",G37&gt;17,"MAYORES")," ")</f>
        <v xml:space="preserve"> </v>
      </c>
      <c r="I37" s="24" t="str">
        <f>UPPER(Palnilla!K45)</f>
        <v/>
      </c>
      <c r="J37" s="24" t="str">
        <f>UPPER(Palnilla!L45)</f>
        <v/>
      </c>
      <c r="K37" s="24" t="str">
        <f>IF(Palnilla!I45&gt;0,Palnilla!M45, " ")</f>
        <v xml:space="preserve"> </v>
      </c>
      <c r="L37" s="24" t="str">
        <f>IF(Palnilla!I45&gt;0, UPPER(Palnilla!$D$5)," ")</f>
        <v xml:space="preserve"> </v>
      </c>
      <c r="M37" s="24" t="str">
        <f>IF(Palnilla!I45&gt;0, UPPER(Palnilla!N45), " ")</f>
        <v xml:space="preserve"> </v>
      </c>
      <c r="N37" s="24" t="str">
        <f>IF(Palnilla!I45&gt;0, UPPER(Palnilla!O45), " ")</f>
        <v xml:space="preserve"> </v>
      </c>
      <c r="O37" s="24" t="str">
        <f>IF(Palnilla!I45&gt;0, UPPER(Palnilla!P45), " ")</f>
        <v xml:space="preserve"> </v>
      </c>
      <c r="P37" s="24" t="str">
        <f>IF(Palnilla!I45&gt;0, UPPER(Palnilla!Q45), " ")</f>
        <v xml:space="preserve"> </v>
      </c>
      <c r="Q37" s="33" t="str">
        <f>IF(Palnilla!I45&gt;0, UPPER(Palnilla!R45), " ")</f>
        <v xml:space="preserve"> </v>
      </c>
    </row>
    <row r="38" spans="2:17" x14ac:dyDescent="0.25">
      <c r="B38" s="34" t="str">
        <f>IF(Palnilla!I46&gt;0,Palnilla!C46," ")</f>
        <v xml:space="preserve"> </v>
      </c>
      <c r="C38" s="23" t="str">
        <f>UPPER(Palnilla!D46)</f>
        <v/>
      </c>
      <c r="D38" s="23" t="str">
        <f>UPPER(Palnilla!E46)</f>
        <v/>
      </c>
      <c r="E38" s="23" t="str">
        <f>UPPER(Palnilla!F46)</f>
        <v/>
      </c>
      <c r="F38" s="35" t="str">
        <f>IF(Palnilla!I46&gt;0, DATE(Palnilla!I46,Palnilla!H46,Palnilla!G46)," ")</f>
        <v xml:space="preserve"> </v>
      </c>
      <c r="G38" s="36" t="str">
        <f>IF(Palnilla!I46&gt;0, DATEDIF(F38,Control!$I$2,"y"), " ")</f>
        <v xml:space="preserve"> </v>
      </c>
      <c r="H38" s="23" t="str" cm="1">
        <f t="array" ref="H38">IF(Palnilla!I46&gt;0,_xlfn.IFS(G38=6,"MINI 7 AÑOS",G38=7,"MINI 7 AÑOS",G38=8,"MINI 8 AÑOS",G38=9,"MINI 9 AÑOS",G38=10,"MINI 10 AÑOS",G38=11,"PREINFANTIL 11 AÑOS",G38=12,"INFANTIL 12 AÑOS",G38=13,"JUNIOR 13 AÑOS",G38=14,"PREJUVENIL",G38=15,"JUVENIL 1ER AÑO",G38=16,"JUVENIL 2DO AÑO",G38=17,"JUVENIL 3ER AÑO",G38&gt;17,"MAYORES")," ")</f>
        <v xml:space="preserve"> </v>
      </c>
      <c r="I38" s="23" t="str">
        <f>UPPER(Palnilla!K46)</f>
        <v/>
      </c>
      <c r="J38" s="23" t="str">
        <f>UPPER(Palnilla!L46)</f>
        <v/>
      </c>
      <c r="K38" s="23" t="str">
        <f>IF(Palnilla!I46&gt;0,Palnilla!M46, " ")</f>
        <v xml:space="preserve"> </v>
      </c>
      <c r="L38" s="23" t="str">
        <f>IF(Palnilla!I46&gt;0, UPPER(Palnilla!$D$5)," ")</f>
        <v xml:space="preserve"> </v>
      </c>
      <c r="M38" s="23" t="str">
        <f>IF(Palnilla!I46&gt;0, UPPER(Palnilla!N46), " ")</f>
        <v xml:space="preserve"> </v>
      </c>
      <c r="N38" s="23" t="str">
        <f>IF(Palnilla!I46&gt;0, UPPER(Palnilla!O46), " ")</f>
        <v xml:space="preserve"> </v>
      </c>
      <c r="O38" s="23" t="str">
        <f>IF(Palnilla!I46&gt;0, UPPER(Palnilla!P46), " ")</f>
        <v xml:space="preserve"> </v>
      </c>
      <c r="P38" s="23" t="str">
        <f>IF(Palnilla!I46&gt;0, UPPER(Palnilla!Q46), " ")</f>
        <v xml:space="preserve"> </v>
      </c>
      <c r="Q38" s="37" t="str">
        <f>IF(Palnilla!I46&gt;0, UPPER(Palnilla!R46), " ")</f>
        <v xml:space="preserve"> </v>
      </c>
    </row>
    <row r="39" spans="2:17" x14ac:dyDescent="0.25">
      <c r="B39" s="30" t="str">
        <f>IF(Palnilla!I47&gt;0,Palnilla!C47," ")</f>
        <v xml:space="preserve"> </v>
      </c>
      <c r="C39" s="24" t="str">
        <f>UPPER(Palnilla!D47)</f>
        <v/>
      </c>
      <c r="D39" s="24" t="str">
        <f>UPPER(Palnilla!E47)</f>
        <v/>
      </c>
      <c r="E39" s="24" t="str">
        <f>UPPER(Palnilla!F47)</f>
        <v/>
      </c>
      <c r="F39" s="31" t="str">
        <f>IF(Palnilla!I47&gt;0, DATE(Palnilla!I47,Palnilla!H47,Palnilla!G47)," ")</f>
        <v xml:space="preserve"> </v>
      </c>
      <c r="G39" s="32" t="str">
        <f>IF(Palnilla!I47&gt;0, DATEDIF(F39,Control!$I$2,"y"), " ")</f>
        <v xml:space="preserve"> </v>
      </c>
      <c r="H39" s="24" t="str" cm="1">
        <f t="array" ref="H39">IF(Palnilla!I47&gt;0,_xlfn.IFS(G39=6,"MINI 7 AÑOS",G39=7,"MINI 7 AÑOS",G39=8,"MINI 8 AÑOS",G39=9,"MINI 9 AÑOS",G39=10,"MINI 10 AÑOS",G39=11,"PREINFANTIL 11 AÑOS",G39=12,"INFANTIL 12 AÑOS",G39=13,"JUNIOR 13 AÑOS",G39=14,"PREJUVENIL",G39=15,"JUVENIL 1ER AÑO",G39=16,"JUVENIL 2DO AÑO",G39=17,"JUVENIL 3ER AÑO",G39&gt;17,"MAYORES")," ")</f>
        <v xml:space="preserve"> </v>
      </c>
      <c r="I39" s="24" t="str">
        <f>UPPER(Palnilla!K47)</f>
        <v/>
      </c>
      <c r="J39" s="24" t="str">
        <f>UPPER(Palnilla!L47)</f>
        <v/>
      </c>
      <c r="K39" s="24" t="str">
        <f>IF(Palnilla!I47&gt;0,Palnilla!M47, " ")</f>
        <v xml:space="preserve"> </v>
      </c>
      <c r="L39" s="24" t="str">
        <f>IF(Palnilla!I47&gt;0, UPPER(Palnilla!$D$5)," ")</f>
        <v xml:space="preserve"> </v>
      </c>
      <c r="M39" s="24" t="str">
        <f>IF(Palnilla!I47&gt;0, UPPER(Palnilla!N47), " ")</f>
        <v xml:space="preserve"> </v>
      </c>
      <c r="N39" s="24" t="str">
        <f>IF(Palnilla!I47&gt;0, UPPER(Palnilla!O47), " ")</f>
        <v xml:space="preserve"> </v>
      </c>
      <c r="O39" s="24" t="str">
        <f>IF(Palnilla!I47&gt;0, UPPER(Palnilla!P47), " ")</f>
        <v xml:space="preserve"> </v>
      </c>
      <c r="P39" s="24" t="str">
        <f>IF(Palnilla!I47&gt;0, UPPER(Palnilla!Q47), " ")</f>
        <v xml:space="preserve"> </v>
      </c>
      <c r="Q39" s="33" t="str">
        <f>IF(Palnilla!I47&gt;0, UPPER(Palnilla!R47), " ")</f>
        <v xml:space="preserve"> </v>
      </c>
    </row>
    <row r="40" spans="2:17" x14ac:dyDescent="0.25">
      <c r="B40" s="34" t="str">
        <f>IF(Palnilla!I48&gt;0,Palnilla!C48," ")</f>
        <v xml:space="preserve"> </v>
      </c>
      <c r="C40" s="23" t="str">
        <f>UPPER(Palnilla!D48)</f>
        <v/>
      </c>
      <c r="D40" s="23" t="str">
        <f>UPPER(Palnilla!E48)</f>
        <v/>
      </c>
      <c r="E40" s="23" t="str">
        <f>UPPER(Palnilla!F48)</f>
        <v/>
      </c>
      <c r="F40" s="35" t="str">
        <f>IF(Palnilla!I48&gt;0, DATE(Palnilla!I48,Palnilla!H48,Palnilla!G48)," ")</f>
        <v xml:space="preserve"> </v>
      </c>
      <c r="G40" s="36" t="str">
        <f>IF(Palnilla!I48&gt;0, DATEDIF(F40,Control!$I$2,"y"), " ")</f>
        <v xml:space="preserve"> </v>
      </c>
      <c r="H40" s="23" t="str" cm="1">
        <f t="array" ref="H40">IF(Palnilla!I48&gt;0,_xlfn.IFS(G40=6,"MINI 7 AÑOS",G40=7,"MINI 7 AÑOS",G40=8,"MINI 8 AÑOS",G40=9,"MINI 9 AÑOS",G40=10,"MINI 10 AÑOS",G40=11,"PREINFANTIL 11 AÑOS",G40=12,"INFANTIL 12 AÑOS",G40=13,"JUNIOR 13 AÑOS",G40=14,"PREJUVENIL",G40=15,"JUVENIL 1ER AÑO",G40=16,"JUVENIL 2DO AÑO",G40=17,"JUVENIL 3ER AÑO",G40&gt;17,"MAYORES")," ")</f>
        <v xml:space="preserve"> </v>
      </c>
      <c r="I40" s="23" t="str">
        <f>UPPER(Palnilla!K48)</f>
        <v/>
      </c>
      <c r="J40" s="23" t="str">
        <f>UPPER(Palnilla!L48)</f>
        <v/>
      </c>
      <c r="K40" s="23" t="str">
        <f>IF(Palnilla!I48&gt;0,Palnilla!M48, " ")</f>
        <v xml:space="preserve"> </v>
      </c>
      <c r="L40" s="23" t="str">
        <f>IF(Palnilla!I48&gt;0, UPPER(Palnilla!$D$5)," ")</f>
        <v xml:space="preserve"> </v>
      </c>
      <c r="M40" s="23" t="str">
        <f>IF(Palnilla!I48&gt;0, UPPER(Palnilla!N48), " ")</f>
        <v xml:space="preserve"> </v>
      </c>
      <c r="N40" s="23" t="str">
        <f>IF(Palnilla!I48&gt;0, UPPER(Palnilla!O48), " ")</f>
        <v xml:space="preserve"> </v>
      </c>
      <c r="O40" s="23" t="str">
        <f>IF(Palnilla!I48&gt;0, UPPER(Palnilla!P48), " ")</f>
        <v xml:space="preserve"> </v>
      </c>
      <c r="P40" s="23" t="str">
        <f>IF(Palnilla!I48&gt;0, UPPER(Palnilla!Q48), " ")</f>
        <v xml:space="preserve"> </v>
      </c>
      <c r="Q40" s="37" t="str">
        <f>IF(Palnilla!I48&gt;0, UPPER(Palnilla!R48), " ")</f>
        <v xml:space="preserve"> </v>
      </c>
    </row>
    <row r="41" spans="2:17" x14ac:dyDescent="0.25">
      <c r="B41" s="30" t="str">
        <f>IF(Palnilla!I49&gt;0,Palnilla!C49," ")</f>
        <v xml:space="preserve"> </v>
      </c>
      <c r="C41" s="24" t="str">
        <f>UPPER(Palnilla!D49)</f>
        <v/>
      </c>
      <c r="D41" s="24" t="str">
        <f>UPPER(Palnilla!E49)</f>
        <v/>
      </c>
      <c r="E41" s="24" t="str">
        <f>UPPER(Palnilla!F49)</f>
        <v/>
      </c>
      <c r="F41" s="31" t="str">
        <f>IF(Palnilla!I49&gt;0, DATE(Palnilla!I49,Palnilla!H49,Palnilla!G49)," ")</f>
        <v xml:space="preserve"> </v>
      </c>
      <c r="G41" s="32" t="str">
        <f>IF(Palnilla!I49&gt;0, DATEDIF(F41,Control!$I$2,"y"), " ")</f>
        <v xml:space="preserve"> </v>
      </c>
      <c r="H41" s="24" t="str" cm="1">
        <f t="array" ref="H41">IF(Palnilla!I49&gt;0,_xlfn.IFS(G41=6,"MINI 7 AÑOS",G41=7,"MINI 7 AÑOS",G41=8,"MINI 8 AÑOS",G41=9,"MINI 9 AÑOS",G41=10,"MINI 10 AÑOS",G41=11,"PREINFANTIL 11 AÑOS",G41=12,"INFANTIL 12 AÑOS",G41=13,"JUNIOR 13 AÑOS",G41=14,"PREJUVENIL",G41=15,"JUVENIL 1ER AÑO",G41=16,"JUVENIL 2DO AÑO",G41=17,"JUVENIL 3ER AÑO",G41&gt;17,"MAYORES")," ")</f>
        <v xml:space="preserve"> </v>
      </c>
      <c r="I41" s="24" t="str">
        <f>UPPER(Palnilla!K49)</f>
        <v/>
      </c>
      <c r="J41" s="24" t="str">
        <f>UPPER(Palnilla!L49)</f>
        <v/>
      </c>
      <c r="K41" s="24" t="str">
        <f>IF(Palnilla!I49&gt;0,Palnilla!M49, " ")</f>
        <v xml:space="preserve"> </v>
      </c>
      <c r="L41" s="24" t="str">
        <f>IF(Palnilla!I49&gt;0, UPPER(Palnilla!$D$5)," ")</f>
        <v xml:space="preserve"> </v>
      </c>
      <c r="M41" s="24" t="str">
        <f>IF(Palnilla!I49&gt;0, UPPER(Palnilla!N49), " ")</f>
        <v xml:space="preserve"> </v>
      </c>
      <c r="N41" s="24" t="str">
        <f>IF(Palnilla!I49&gt;0, UPPER(Palnilla!O49), " ")</f>
        <v xml:space="preserve"> </v>
      </c>
      <c r="O41" s="24" t="str">
        <f>IF(Palnilla!I49&gt;0, UPPER(Palnilla!P49), " ")</f>
        <v xml:space="preserve"> </v>
      </c>
      <c r="P41" s="24" t="str">
        <f>IF(Palnilla!I49&gt;0, UPPER(Palnilla!Q49), " ")</f>
        <v xml:space="preserve"> </v>
      </c>
      <c r="Q41" s="33" t="str">
        <f>IF(Palnilla!I49&gt;0, UPPER(Palnilla!R49), " ")</f>
        <v xml:space="preserve"> </v>
      </c>
    </row>
    <row r="42" spans="2:17" ht="15.75" thickBot="1" x14ac:dyDescent="0.3">
      <c r="B42" s="38" t="str">
        <f>IF(Palnilla!I50&gt;0,Palnilla!C50," ")</f>
        <v xml:space="preserve"> </v>
      </c>
      <c r="C42" s="25" t="str">
        <f>UPPER(Palnilla!D50)</f>
        <v/>
      </c>
      <c r="D42" s="25" t="str">
        <f>UPPER(Palnilla!E50)</f>
        <v/>
      </c>
      <c r="E42" s="25" t="str">
        <f>UPPER(Palnilla!F50)</f>
        <v/>
      </c>
      <c r="F42" s="39" t="str">
        <f>IF(Palnilla!I50&gt;0, DATE(Palnilla!I50,Palnilla!H50,Palnilla!G50)," ")</f>
        <v xml:space="preserve"> </v>
      </c>
      <c r="G42" s="40" t="str">
        <f>IF(Palnilla!I50&gt;0, DATEDIF(F42,Control!$I$2,"y"), " ")</f>
        <v xml:space="preserve"> </v>
      </c>
      <c r="H42" s="25" t="str" cm="1">
        <f t="array" ref="H42">IF(Palnilla!I50&gt;0,_xlfn.IFS(G42=6,"MINI 7 AÑOS",G42=7,"MINI 7 AÑOS",G42=8,"MINI 8 AÑOS",G42=9,"MINI 9 AÑOS",G42=10,"MINI 10 AÑOS",G42=11,"PREINFANTIL 11 AÑOS",G42=12,"INFANTIL 12 AÑOS",G42=13,"JUNIOR 13 AÑOS",G42=14,"PREJUVENIL",G42=15,"JUVENIL 1ER AÑO",G42=16,"JUVENIL 2DO AÑO",G42=17,"JUVENIL 3ER AÑO",G42&gt;17,"MAYORES")," ")</f>
        <v xml:space="preserve"> </v>
      </c>
      <c r="I42" s="25" t="str">
        <f>UPPER(Palnilla!K50)</f>
        <v/>
      </c>
      <c r="J42" s="25" t="str">
        <f>UPPER(Palnilla!L50)</f>
        <v/>
      </c>
      <c r="K42" s="25" t="str">
        <f>IF(Palnilla!I50&gt;0,Palnilla!M50, " ")</f>
        <v xml:space="preserve"> </v>
      </c>
      <c r="L42" s="25" t="str">
        <f>IF(Palnilla!I50&gt;0, UPPER(Palnilla!$D$5)," ")</f>
        <v xml:space="preserve"> </v>
      </c>
      <c r="M42" s="25" t="str">
        <f>IF(Palnilla!I50&gt;0, UPPER(Palnilla!N50), " ")</f>
        <v xml:space="preserve"> </v>
      </c>
      <c r="N42" s="25" t="str">
        <f>IF(Palnilla!I50&gt;0, UPPER(Palnilla!O50), " ")</f>
        <v xml:space="preserve"> </v>
      </c>
      <c r="O42" s="25" t="str">
        <f>IF(Palnilla!I50&gt;0, UPPER(Palnilla!P50), " ")</f>
        <v xml:space="preserve"> </v>
      </c>
      <c r="P42" s="25" t="str">
        <f>IF(Palnilla!I50&gt;0, UPPER(Palnilla!Q50), " ")</f>
        <v xml:space="preserve"> </v>
      </c>
      <c r="Q42" s="41" t="str">
        <f>IF(Palnilla!I50&gt;0, UPPER(Palnilla!R50), " ")</f>
        <v xml:space="preserve"> </v>
      </c>
    </row>
  </sheetData>
  <sheetProtection algorithmName="SHA-512" hashValue="0fhfsHETwVay5zorpfDbs0N62CmPBfHXB8bm/mvjsE48bEUCGYL5rAo8cdtgHrWencKEPVRiQAn82ryC37NO7g==" saltValue="Vx8tDSGO3akP1dScGs9K+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1F8C-C4DB-4D67-89EE-A3DCDCA69495}">
  <dimension ref="B1:I53"/>
  <sheetViews>
    <sheetView workbookViewId="0">
      <selection activeCell="I2" sqref="I2"/>
    </sheetView>
  </sheetViews>
  <sheetFormatPr baseColWidth="10" defaultRowHeight="15" x14ac:dyDescent="0.25"/>
  <cols>
    <col min="6" max="6" width="14.140625" bestFit="1" customWidth="1"/>
    <col min="8" max="8" width="12.42578125" bestFit="1" customWidth="1"/>
    <col min="9" max="9" width="13.85546875" bestFit="1" customWidth="1"/>
  </cols>
  <sheetData>
    <row r="1" spans="2:9" x14ac:dyDescent="0.25">
      <c r="B1" t="s">
        <v>28</v>
      </c>
      <c r="C1" t="s">
        <v>29</v>
      </c>
      <c r="D1" t="s">
        <v>30</v>
      </c>
      <c r="E1" t="s">
        <v>31</v>
      </c>
      <c r="F1" t="s">
        <v>39</v>
      </c>
      <c r="G1" t="s">
        <v>32</v>
      </c>
      <c r="H1" t="s">
        <v>43</v>
      </c>
      <c r="I1" t="s">
        <v>46</v>
      </c>
    </row>
    <row r="2" spans="2:9" x14ac:dyDescent="0.25">
      <c r="B2" t="s">
        <v>26</v>
      </c>
      <c r="C2">
        <v>1</v>
      </c>
      <c r="D2">
        <v>1</v>
      </c>
      <c r="E2">
        <v>2021</v>
      </c>
      <c r="F2" t="s">
        <v>40</v>
      </c>
      <c r="G2" t="s">
        <v>33</v>
      </c>
      <c r="H2" t="s">
        <v>44</v>
      </c>
      <c r="I2" s="1">
        <v>46204</v>
      </c>
    </row>
    <row r="3" spans="2:9" x14ac:dyDescent="0.25">
      <c r="B3" t="s">
        <v>27</v>
      </c>
      <c r="C3">
        <v>2</v>
      </c>
      <c r="D3">
        <v>2</v>
      </c>
      <c r="E3">
        <v>2020</v>
      </c>
      <c r="F3" t="s">
        <v>41</v>
      </c>
      <c r="G3" t="s">
        <v>34</v>
      </c>
    </row>
    <row r="4" spans="2:9" x14ac:dyDescent="0.25">
      <c r="C4">
        <v>3</v>
      </c>
      <c r="D4">
        <v>3</v>
      </c>
      <c r="E4">
        <v>2019</v>
      </c>
      <c r="F4" t="s">
        <v>42</v>
      </c>
      <c r="G4" t="s">
        <v>35</v>
      </c>
    </row>
    <row r="5" spans="2:9" x14ac:dyDescent="0.25">
      <c r="C5">
        <v>4</v>
      </c>
      <c r="D5">
        <v>4</v>
      </c>
      <c r="E5">
        <v>2018</v>
      </c>
      <c r="G5" t="s">
        <v>36</v>
      </c>
    </row>
    <row r="6" spans="2:9" x14ac:dyDescent="0.25">
      <c r="C6">
        <v>5</v>
      </c>
      <c r="D6">
        <v>5</v>
      </c>
      <c r="E6">
        <v>2017</v>
      </c>
    </row>
    <row r="7" spans="2:9" x14ac:dyDescent="0.25">
      <c r="C7">
        <v>6</v>
      </c>
      <c r="D7">
        <v>6</v>
      </c>
      <c r="E7">
        <v>2016</v>
      </c>
    </row>
    <row r="8" spans="2:9" x14ac:dyDescent="0.25">
      <c r="C8">
        <v>7</v>
      </c>
      <c r="D8">
        <v>7</v>
      </c>
      <c r="E8">
        <v>2015</v>
      </c>
    </row>
    <row r="9" spans="2:9" x14ac:dyDescent="0.25">
      <c r="C9">
        <v>8</v>
      </c>
      <c r="D9">
        <v>8</v>
      </c>
      <c r="E9">
        <v>2014</v>
      </c>
    </row>
    <row r="10" spans="2:9" x14ac:dyDescent="0.25">
      <c r="C10">
        <v>9</v>
      </c>
      <c r="D10">
        <v>9</v>
      </c>
      <c r="E10">
        <v>2013</v>
      </c>
    </row>
    <row r="11" spans="2:9" x14ac:dyDescent="0.25">
      <c r="C11">
        <v>10</v>
      </c>
      <c r="D11">
        <v>10</v>
      </c>
      <c r="E11">
        <v>2012</v>
      </c>
    </row>
    <row r="12" spans="2:9" x14ac:dyDescent="0.25">
      <c r="C12">
        <v>11</v>
      </c>
      <c r="D12">
        <v>11</v>
      </c>
      <c r="E12">
        <v>2011</v>
      </c>
    </row>
    <row r="13" spans="2:9" x14ac:dyDescent="0.25">
      <c r="C13">
        <v>12</v>
      </c>
      <c r="D13">
        <v>12</v>
      </c>
      <c r="E13">
        <v>2010</v>
      </c>
    </row>
    <row r="14" spans="2:9" x14ac:dyDescent="0.25">
      <c r="C14">
        <v>13</v>
      </c>
      <c r="E14">
        <v>2009</v>
      </c>
    </row>
    <row r="15" spans="2:9" x14ac:dyDescent="0.25">
      <c r="C15">
        <v>14</v>
      </c>
      <c r="E15">
        <v>2008</v>
      </c>
    </row>
    <row r="16" spans="2:9" x14ac:dyDescent="0.25">
      <c r="C16">
        <v>15</v>
      </c>
      <c r="E16">
        <v>2007</v>
      </c>
    </row>
    <row r="17" spans="3:5" x14ac:dyDescent="0.25">
      <c r="C17">
        <v>16</v>
      </c>
      <c r="E17">
        <v>2006</v>
      </c>
    </row>
    <row r="18" spans="3:5" x14ac:dyDescent="0.25">
      <c r="C18">
        <v>17</v>
      </c>
      <c r="E18">
        <v>2005</v>
      </c>
    </row>
    <row r="19" spans="3:5" x14ac:dyDescent="0.25">
      <c r="C19">
        <v>18</v>
      </c>
      <c r="E19">
        <v>2004</v>
      </c>
    </row>
    <row r="20" spans="3:5" x14ac:dyDescent="0.25">
      <c r="C20">
        <v>19</v>
      </c>
      <c r="E20">
        <v>2003</v>
      </c>
    </row>
    <row r="21" spans="3:5" x14ac:dyDescent="0.25">
      <c r="C21">
        <v>20</v>
      </c>
      <c r="E21">
        <v>2002</v>
      </c>
    </row>
    <row r="22" spans="3:5" x14ac:dyDescent="0.25">
      <c r="C22">
        <v>21</v>
      </c>
      <c r="E22">
        <v>2001</v>
      </c>
    </row>
    <row r="23" spans="3:5" x14ac:dyDescent="0.25">
      <c r="C23">
        <v>22</v>
      </c>
      <c r="E23">
        <v>2000</v>
      </c>
    </row>
    <row r="24" spans="3:5" x14ac:dyDescent="0.25">
      <c r="C24">
        <v>23</v>
      </c>
      <c r="E24">
        <v>1999</v>
      </c>
    </row>
    <row r="25" spans="3:5" x14ac:dyDescent="0.25">
      <c r="C25">
        <v>24</v>
      </c>
      <c r="E25">
        <v>1998</v>
      </c>
    </row>
    <row r="26" spans="3:5" x14ac:dyDescent="0.25">
      <c r="C26">
        <v>25</v>
      </c>
      <c r="E26">
        <v>1997</v>
      </c>
    </row>
    <row r="27" spans="3:5" x14ac:dyDescent="0.25">
      <c r="C27">
        <v>26</v>
      </c>
      <c r="E27">
        <v>1996</v>
      </c>
    </row>
    <row r="28" spans="3:5" x14ac:dyDescent="0.25">
      <c r="C28">
        <v>27</v>
      </c>
      <c r="E28">
        <v>1995</v>
      </c>
    </row>
    <row r="29" spans="3:5" x14ac:dyDescent="0.25">
      <c r="C29">
        <v>28</v>
      </c>
      <c r="E29">
        <v>1994</v>
      </c>
    </row>
    <row r="30" spans="3:5" x14ac:dyDescent="0.25">
      <c r="C30">
        <v>29</v>
      </c>
      <c r="E30">
        <v>1993</v>
      </c>
    </row>
    <row r="31" spans="3:5" x14ac:dyDescent="0.25">
      <c r="C31">
        <v>30</v>
      </c>
      <c r="E31">
        <v>1992</v>
      </c>
    </row>
    <row r="32" spans="3:5" x14ac:dyDescent="0.25">
      <c r="C32">
        <v>31</v>
      </c>
      <c r="E32">
        <v>1991</v>
      </c>
    </row>
    <row r="33" spans="5:5" x14ac:dyDescent="0.25">
      <c r="E33">
        <v>1990</v>
      </c>
    </row>
    <row r="34" spans="5:5" x14ac:dyDescent="0.25">
      <c r="E34">
        <v>1989</v>
      </c>
    </row>
    <row r="35" spans="5:5" x14ac:dyDescent="0.25">
      <c r="E35">
        <v>1988</v>
      </c>
    </row>
    <row r="36" spans="5:5" x14ac:dyDescent="0.25">
      <c r="E36">
        <v>1987</v>
      </c>
    </row>
    <row r="37" spans="5:5" x14ac:dyDescent="0.25">
      <c r="E37">
        <v>1986</v>
      </c>
    </row>
    <row r="38" spans="5:5" x14ac:dyDescent="0.25">
      <c r="E38">
        <v>1985</v>
      </c>
    </row>
    <row r="39" spans="5:5" x14ac:dyDescent="0.25">
      <c r="E39">
        <v>1984</v>
      </c>
    </row>
    <row r="40" spans="5:5" x14ac:dyDescent="0.25">
      <c r="E40">
        <v>1983</v>
      </c>
    </row>
    <row r="41" spans="5:5" x14ac:dyDescent="0.25">
      <c r="E41">
        <v>1982</v>
      </c>
    </row>
    <row r="42" spans="5:5" x14ac:dyDescent="0.25">
      <c r="E42">
        <v>1981</v>
      </c>
    </row>
    <row r="43" spans="5:5" x14ac:dyDescent="0.25">
      <c r="E43">
        <v>1980</v>
      </c>
    </row>
    <row r="44" spans="5:5" x14ac:dyDescent="0.25">
      <c r="E44">
        <v>1979</v>
      </c>
    </row>
    <row r="45" spans="5:5" x14ac:dyDescent="0.25">
      <c r="E45">
        <v>1978</v>
      </c>
    </row>
    <row r="46" spans="5:5" x14ac:dyDescent="0.25">
      <c r="E46">
        <v>1977</v>
      </c>
    </row>
    <row r="47" spans="5:5" x14ac:dyDescent="0.25">
      <c r="E47">
        <v>1976</v>
      </c>
    </row>
    <row r="48" spans="5:5" x14ac:dyDescent="0.25">
      <c r="E48">
        <v>1975</v>
      </c>
    </row>
    <row r="49" spans="5:5" x14ac:dyDescent="0.25">
      <c r="E49">
        <v>1974</v>
      </c>
    </row>
    <row r="50" spans="5:5" x14ac:dyDescent="0.25">
      <c r="E50">
        <v>1973</v>
      </c>
    </row>
    <row r="51" spans="5:5" x14ac:dyDescent="0.25">
      <c r="E51">
        <v>1972</v>
      </c>
    </row>
    <row r="52" spans="5:5" x14ac:dyDescent="0.25">
      <c r="E52">
        <v>1971</v>
      </c>
    </row>
    <row r="53" spans="5:5" x14ac:dyDescent="0.25">
      <c r="E53">
        <v>1970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Palnilla</vt:lpstr>
      <vt:lpstr>BD</vt:lpstr>
      <vt:lpstr>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</dc:creator>
  <cp:lastModifiedBy>Julio Cesar</cp:lastModifiedBy>
  <dcterms:created xsi:type="dcterms:W3CDTF">2026-05-29T01:45:18Z</dcterms:created>
  <dcterms:modified xsi:type="dcterms:W3CDTF">2026-06-10T14:19:23Z</dcterms:modified>
</cp:coreProperties>
</file>